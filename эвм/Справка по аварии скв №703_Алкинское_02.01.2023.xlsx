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45" windowWidth="20730" windowHeight="10620"/>
  </bookViews>
  <sheets>
    <sheet name="Хронология инцидента" sheetId="1" r:id="rId1"/>
    <sheet name="Лист2" sheetId="2" r:id="rId2"/>
    <sheet name="Лист3" sheetId="3" r:id="rId3"/>
  </sheets>
  <definedNames>
    <definedName name="_xlnm.Print_Titles" localSheetId="0">'Хронология инцидента'!$16:$16</definedName>
  </definedNames>
  <calcPr calcId="145621"/>
</workbook>
</file>

<file path=xl/calcChain.xml><?xml version="1.0" encoding="utf-8"?>
<calcChain xmlns="http://schemas.openxmlformats.org/spreadsheetml/2006/main">
  <c r="F120" i="1" l="1"/>
  <c r="F119" i="1"/>
  <c r="F118" i="1"/>
  <c r="F117" i="1" l="1"/>
  <c r="F116" i="1" l="1"/>
  <c r="F115" i="1" l="1"/>
  <c r="F114" i="1" l="1"/>
  <c r="F113" i="1"/>
  <c r="F112" i="1" l="1"/>
  <c r="F111" i="1"/>
  <c r="F106" i="1" l="1"/>
  <c r="F104" i="1"/>
  <c r="F103" i="1"/>
  <c r="F110" i="1" l="1"/>
  <c r="F105" i="1"/>
  <c r="F109" i="1" l="1"/>
  <c r="F108" i="1"/>
  <c r="F107" i="1"/>
  <c r="F102" i="1" l="1"/>
  <c r="F101" i="1"/>
  <c r="F100" i="1"/>
  <c r="F98" i="1"/>
  <c r="F99" i="1"/>
  <c r="F97" i="1" l="1"/>
  <c r="F96" i="1"/>
  <c r="F95" i="1" l="1"/>
  <c r="F94" i="1"/>
  <c r="F93" i="1"/>
  <c r="F92" i="1"/>
  <c r="F91" i="1" l="1"/>
  <c r="F90" i="1"/>
  <c r="F89" i="1"/>
  <c r="F88" i="1"/>
  <c r="F87" i="1"/>
  <c r="F86" i="1"/>
  <c r="F85" i="1" l="1"/>
  <c r="F84" i="1" l="1"/>
  <c r="F83" i="1" l="1"/>
  <c r="F82" i="1"/>
  <c r="F81" i="1" l="1"/>
  <c r="F80" i="1"/>
  <c r="F79" i="1" l="1"/>
  <c r="F78" i="1"/>
  <c r="F77" i="1" l="1"/>
  <c r="F76" i="1"/>
  <c r="F75" i="1" l="1"/>
  <c r="F74" i="1" l="1"/>
  <c r="F73" i="1"/>
  <c r="F72" i="1"/>
  <c r="F71" i="1" l="1"/>
  <c r="F70" i="1"/>
  <c r="F69" i="1"/>
  <c r="F68" i="1"/>
  <c r="F67" i="1"/>
  <c r="F66" i="1"/>
  <c r="F65" i="1"/>
  <c r="F64" i="1"/>
  <c r="F63" i="1"/>
  <c r="F62" i="1"/>
  <c r="F61" i="1"/>
  <c r="F60" i="1" l="1"/>
  <c r="F59" i="1"/>
  <c r="F58" i="1" l="1"/>
  <c r="F57" i="1" l="1"/>
  <c r="F56" i="1"/>
  <c r="F55" i="1"/>
  <c r="F53" i="1" l="1"/>
  <c r="F52" i="1"/>
  <c r="F51" i="1"/>
  <c r="F54" i="1"/>
  <c r="F50" i="1" l="1"/>
  <c r="F49" i="1"/>
  <c r="F42" i="1" l="1"/>
  <c r="F48" i="1"/>
  <c r="F47" i="1"/>
  <c r="F46" i="1"/>
  <c r="F45" i="1"/>
  <c r="F44" i="1"/>
  <c r="F41" i="1"/>
  <c r="F40" i="1"/>
  <c r="F39" i="1"/>
  <c r="F38" i="1" l="1"/>
  <c r="F37" i="1" l="1"/>
  <c r="F32" i="1" l="1"/>
  <c r="F36" i="1"/>
  <c r="F35" i="1"/>
  <c r="F33" i="1"/>
  <c r="F34" i="1"/>
  <c r="F30" i="1" l="1"/>
  <c r="F29" i="1"/>
  <c r="F28" i="1" l="1"/>
  <c r="F27" i="1" l="1"/>
  <c r="F26" i="1" l="1"/>
  <c r="F24" i="1" l="1"/>
  <c r="F21" i="1" l="1"/>
  <c r="F20" i="1"/>
  <c r="F19" i="1" l="1"/>
  <c r="F18" i="1"/>
</calcChain>
</file>

<file path=xl/comments1.xml><?xml version="1.0" encoding="utf-8"?>
<comments xmlns="http://schemas.openxmlformats.org/spreadsheetml/2006/main">
  <authors>
    <author>Иванов Сергей Сергеевич</author>
    <author>Дикун Александр Геннадьевич</author>
    <author>Азимут-Сервис</author>
  </authors>
  <commentList>
    <comment ref="I3" authorId="0">
      <text>
        <r>
          <rPr>
            <b/>
            <sz val="9"/>
            <color indexed="81"/>
            <rFont val="Tahoma"/>
            <family val="2"/>
            <charset val="204"/>
          </rPr>
          <t>Иванов Сергей Сергеевич:</t>
        </r>
        <r>
          <rPr>
            <sz val="9"/>
            <color indexed="81"/>
            <rFont val="Tahoma"/>
            <family val="2"/>
            <charset val="204"/>
          </rPr>
          <t xml:space="preserve">
При оформлении отправлть на адреса(формируется при аварии) к 6:00. 16:00, 24:00.</t>
        </r>
      </text>
    </comment>
    <comment ref="T9" authorId="1">
      <text>
        <r>
          <rPr>
            <sz val="9"/>
            <color indexed="81"/>
            <rFont val="Tahoma"/>
            <family val="2"/>
            <charset val="204"/>
          </rPr>
          <t>Заполяется по окончанию инцидента</t>
        </r>
      </text>
    </comment>
    <comment ref="T11" authorId="1">
      <text>
        <r>
          <rPr>
            <sz val="9"/>
            <color indexed="81"/>
            <rFont val="Tahoma"/>
            <family val="2"/>
            <charset val="204"/>
          </rPr>
          <t>Заполняется ежесуточно</t>
        </r>
      </text>
    </comment>
    <comment ref="D17" authorId="2">
      <text>
        <r>
          <rPr>
            <sz val="9"/>
            <color indexed="81"/>
            <rFont val="Tahoma"/>
            <family val="2"/>
            <charset val="204"/>
          </rPr>
          <t>Необходимо объеденять ячейки в зависимости от количества операций в рассматриваемых сутках.                                ВАЖНО! Сверху должна быть последняя (текущая) дата, а предыдущая (вчерашняя) смещалась вниз и т.д.</t>
        </r>
      </text>
    </comment>
  </commentList>
</comments>
</file>

<file path=xl/sharedStrings.xml><?xml version="1.0" encoding="utf-8"?>
<sst xmlns="http://schemas.openxmlformats.org/spreadsheetml/2006/main" count="167" uniqueCount="160">
  <si>
    <t>№Бригады/Мастер:</t>
  </si>
  <si>
    <t>Дата</t>
  </si>
  <si>
    <t>Время  (от), час</t>
  </si>
  <si>
    <t>Время  (до), час</t>
  </si>
  <si>
    <t>Описание операций</t>
  </si>
  <si>
    <t>Примечание</t>
  </si>
  <si>
    <t>Представитель Заказчика</t>
  </si>
  <si>
    <t>Краткое описание
инцидента:</t>
  </si>
  <si>
    <t xml:space="preserve">КНБК (кратко):
</t>
  </si>
  <si>
    <t>Проектный забой, м:</t>
  </si>
  <si>
    <t xml:space="preserve">Куст:             </t>
  </si>
  <si>
    <t>Скважина:</t>
  </si>
  <si>
    <t>Общество Группы:</t>
  </si>
  <si>
    <t>Месторождение/площадь:</t>
  </si>
  <si>
    <t>(должность, ФИО представителя службы Супервайзинга)</t>
  </si>
  <si>
    <t>( подпись)</t>
  </si>
  <si>
    <t>Дата и время 
начала инцидента:</t>
  </si>
  <si>
    <t>Дата и время
окончания инцидента:</t>
  </si>
  <si>
    <t>Назначение скважины, 
Проектный пласт</t>
  </si>
  <si>
    <t>Фактический макс. угол скважины, град
 /на глубине, м.</t>
  </si>
  <si>
    <t>Вид инцидента:</t>
  </si>
  <si>
    <t>Глубина башмака (окна) предыдущей колоны, м</t>
  </si>
  <si>
    <r>
      <t>Конструкция скважины (ОК-</t>
    </r>
    <r>
      <rPr>
        <sz val="8"/>
        <color theme="1"/>
        <rFont val="Calibri"/>
        <family val="2"/>
        <charset val="204"/>
      </rPr>
      <t>Ø, глубина спуска)</t>
    </r>
  </si>
  <si>
    <t>Текущий забой, м, зен.угол, °:</t>
  </si>
  <si>
    <t>Аварийный забой, м, зен.угол, °:</t>
  </si>
  <si>
    <t>Параметры БР</t>
  </si>
  <si>
    <t>Долотный сервис</t>
  </si>
  <si>
    <t>Сервис 
по ВЗД</t>
  </si>
  <si>
    <t>Сервис по цементи-рованию</t>
  </si>
  <si>
    <t>Сервис 
по ГИС</t>
  </si>
  <si>
    <t>Супер-вайзинг</t>
  </si>
  <si>
    <t>ГТИ</t>
  </si>
  <si>
    <t xml:space="preserve">Сервис 
по ННБ </t>
  </si>
  <si>
    <t>Сервис по БР</t>
  </si>
  <si>
    <t>Сервис по заканч. (оснастка)</t>
  </si>
  <si>
    <t>Справка по аварии / инциденту</t>
  </si>
  <si>
    <t>ООО "ПетроТул"</t>
  </si>
  <si>
    <t>АО "БНГФ"</t>
  </si>
  <si>
    <t>ООО "Азимут-Сервис"</t>
  </si>
  <si>
    <t>ООО "Петроальянс"</t>
  </si>
  <si>
    <t>ТОО ПетроАльянс</t>
  </si>
  <si>
    <t xml:space="preserve">Общее НПВ, час/сут:
</t>
  </si>
  <si>
    <t>Бобриковский-Радаевский   горизонты
C1bb-rd</t>
  </si>
  <si>
    <t>Подрядчик:</t>
  </si>
  <si>
    <t>ОАО "АзГор"</t>
  </si>
  <si>
    <t>ООО БНД</t>
  </si>
  <si>
    <t>№12 /Бурмистров С.А.</t>
  </si>
  <si>
    <t>Алкинское</t>
  </si>
  <si>
    <t>"Буринтех"</t>
  </si>
  <si>
    <t xml:space="preserve"> </t>
  </si>
  <si>
    <t>ОК 426мм-40м.
ОК 324мм-172м.
ОК 245мм - 308м</t>
  </si>
  <si>
    <t xml:space="preserve">КНБК №28:Долото PDC БИТ 215,9 BT 616 УСВ.931-01+7LZ172x7.0-VI (1°44)+ЗЩФ178-01+ОКБ-178+КП-178 +НУБТ 178 ( немагнитная )+БС-178 (инкл.ГК)-электромагнитный канал связи+Охранный кожух генератора+НУБТ 178 ( немагнитная )+Переводник П-147/150+Переводник П-133/147+СБТ-127 х 9.19 G-105/IEU (9св.)+ТБТ 127 х 25.5 G-105 (3св.)+ЯС SZ 165  (Гидромеханический)+ТБТ 127 х 25.5 G-105 (8св.)+СБТ-127 х 9.19 G-105/IEU
</t>
  </si>
  <si>
    <t>2192м</t>
  </si>
  <si>
    <t>БР:  KCL-полимерный Y=1,30г/см3; Т=46с; В=2,9л/30мин; рН-11,0; смазка=2%; V=68м3</t>
  </si>
  <si>
    <t>Прихват</t>
  </si>
  <si>
    <t>1805м/49,4</t>
  </si>
  <si>
    <t>2192м/61,5</t>
  </si>
  <si>
    <t>1947м/65,5</t>
  </si>
  <si>
    <t>Рассхаживание до 73тн.на вира. При своем весе 54т  вращение ВСП проворот 4об/м, Мкр-до22 кНм, разгрузка до 0 . Циркуляции нет</t>
  </si>
  <si>
    <t xml:space="preserve">Востановление циркуляции при Q-10л/с Р-90атм, при 16л/с Р-130ат. Рассхаживание до 77тн.на вира, разгрузка до 0. При своем весе 54т  </t>
  </si>
  <si>
    <t xml:space="preserve">Циркуляции при Q-18л/с Р-142атм,  Рассхаживание до 80тн.на вира, разгрузка до 0. При своем весе 54т  </t>
  </si>
  <si>
    <t>Промывка при Q-19л/с Р-125атм обработка БР от цементной агрессии. Не смогли перити на насос 170втулках глохнет дизель</t>
  </si>
  <si>
    <t>На Вира тянем 90т, ясс срабатывает на вверх, на свой вес пружину создаём 4 оборота, далее выдерживаем 3 минуты, отпускаем пружину, разгружаем до 0, ясс срабатывает вниз. Ещё раз создаём пружину. Снизили литраж до Q- 15л/с, Р-100атм. При литраже Q- 20л/с не срабатывает ясс</t>
  </si>
  <si>
    <t>Промывка на Q- 10л/с, Р-130атм. C поступенчатым увеличением до Q-21л/с Р- 140 Расхаживание на вира  до 96т разгрузка до 0. работа яссом вверх. На выходе цемент 90% порода 10%</t>
  </si>
  <si>
    <t>Промывка при Q-20л/с Р-120атм</t>
  </si>
  <si>
    <t>Промывка на БН с втулками диаметром 120мм  Q-19л/с  начальное Р-115атм,</t>
  </si>
  <si>
    <t>Переход на насос с втулками диаметром 170мм Q-24л/с  начальное Р-200атм, многократные пропытки промывки при Q-24л/с рост давления до Р-170-180атм, перегрелся дизель БН</t>
  </si>
  <si>
    <t>Промывка выход на режим с Q-20л/с   Р-105атм, на Q-26л/с Р-140атм Расхаживание на вира до 95т работаем яссом вверх,  разгрузка на Майна  до 15т. Наворот пружины до 20кН при своем весе 54т, разгрузка до 15т</t>
  </si>
  <si>
    <t>Промывка на БН с втулками диаметром 120мм  Q-19л/с   Р-105атм, Расхаживание на вира до 95т работаем яссом вверх,  разгрузка на Майна  до 15т. вытянули 40см. Наворот пружины до 20кН при своем весе 54т, разгрузка до 15т</t>
  </si>
  <si>
    <t>Выход  Q-31л/с Р-140-110атм Расхаживание на вира до 95т работаем яссом вверх,  разгрузка на Майна  до 15т. Наворот пружины до 20кН при своем весе 54т, разгрузка до 15т. Сигнал Т/С: отклонитель на 120гр</t>
  </si>
  <si>
    <t>26,68ч/1,11сут</t>
  </si>
  <si>
    <t>Забой скв. 2192м. (долото на гл.1804м) При углублении в интервале 1800-1805м с установкой отклонителя 180гр  получили скачок давления до 190атм, при рабочем 102атм. Затяжка на вира 72т при своем весе 54т, на майна 19т. Потеря подвижности и циркуляции.</t>
  </si>
  <si>
    <t>ПЗР к установке противоприхватной ванны</t>
  </si>
  <si>
    <t>Расхаживание на вира до 80т,  разгрузка на Майна  до 0т. работа ясом как вниз так и на верх.  Наворот пружины до 20кН при своем весе 54т, разгрузка до 0т. Подкачка бурового раствора 0,5м3</t>
  </si>
  <si>
    <t>Расхаживание на вира до 80т,  разгрузка на Майна  до 0т. работа ясом как вниз так и на верх.  Наворот пружины до 20кН при своем весе 54т, разгрузка до 0т.Подкачка бурового раствора 0,5м3</t>
  </si>
  <si>
    <t>Расхаживание на вира до 80т,  разгрузка на Майна  до 0т. работа ясом как вниз так и на верх.  Наворот пружины до 20кН при своем весе 54т, разгрузка до 0т.разгрузка до 0. Подкачка бурового раствора 0,5м3</t>
  </si>
  <si>
    <t xml:space="preserve">Закачка 2м3 нефти. Закачка 2м3 кислоты HCl 24%. Закачка 2м3 нефти. Закачка бурового раствора 10м3. </t>
  </si>
  <si>
    <t xml:space="preserve">Стоянка 1,0ч. Подкачка бурового раствора 0,5м3 </t>
  </si>
  <si>
    <t>Расхаживание на вира до 80т,  разгрузка на Майна  до 0т. работа ясом как вниз так и на верх.  Наворот пружины до 20кН при своем весе 54т, разгрузка до 0т.</t>
  </si>
  <si>
    <t>Расхаживание на вира до 90т,  разгрузка на Майна  до 0т. работа ясом как вниз так и на верх.  Наворот пружины до 20кН при своем весе 54т, разгрузка до 0т. Смещение КНБК вниз на 15см</t>
  </si>
  <si>
    <t>Промывка при Q-9л/с Р-60атм, вымыв противоприхватной ванны</t>
  </si>
  <si>
    <t>Закачка 2м3 тех.воды. Закачка 6м3 кислоты HCl 24%. Закачка 2м3 тех.воды. Закачка бурового раствора 10,5м3.</t>
  </si>
  <si>
    <t xml:space="preserve">Стоянка на реакции 1,0ч. </t>
  </si>
  <si>
    <t xml:space="preserve">Промывка при Q-9л/с Р-60атм, вымыв противоприхватной ванны. ТО двигателя МБУ. Оставление под  пружиной до 17,4кН при своем весе 54,7т, периодичекие разгрузки до 32т. </t>
  </si>
  <si>
    <t xml:space="preserve">Расхаживание на вира до 99т,  разгрузка на Майна  до 0т. работа ясом как вниз так и на верх.  Наворот пружины до 20кН при своем весе 54т, разгрузка до 0т. Подкачка бурового раствора 0,5м3 </t>
  </si>
  <si>
    <t xml:space="preserve"> Расхаживание на вира до 97т,  разгрузка на Майна  до 0т. работа ясом как вниз так и на верх.  Наворот пружины до 20кН при своем весе 54т, разгрузка до 0т. Подкачка бурового раствора 0,5м3</t>
  </si>
  <si>
    <t xml:space="preserve">  Расхаживание на вира до 105т,  разгрузка на Майна  до 0т. работа ясом как вниз так и на верх.  Наворот пружины до 24кН при своем весе 54т, разгрузка до 0т. Подкачка бурового раствора 0,5м3</t>
  </si>
  <si>
    <t xml:space="preserve"> Расхаживание на вира до 87т,  разгрузка на Майна  до 0т. работа ясом как вниз так и на верх.  Наворот пружины до 20кН при своем весе 54т, разгрузка до 0т. Подкачка бурового раствора 0,5м3 </t>
  </si>
  <si>
    <t xml:space="preserve"> Расхаживание на вира до 97т,  разгрузка на Майна  до 0т. работа ясом как вниз так и на верх.  Наворот пружины до 22кН при своем весе 54т, разгрузка до 0т. Подкачка бурового раствора 0,5м3</t>
  </si>
  <si>
    <t xml:space="preserve">  Расхаживание на вира до 105т,  разгрузка на Майна  до 0т. работа ясом как вниз так и на верх.  Наворот пружины до 22кН при своем весе 54т, разгрузка до 0т. Подкачка бурового раствора 0,5м3</t>
  </si>
  <si>
    <t xml:space="preserve"> Расхаживание на вира до 97т,  разгрузка на Майна  до 0т. работа ясом как вниз так и на верх.  Наворот пружины до 22кН при своем весе 54т, разгрузка до 0т. Подкачка бурового раствора 0,5м4</t>
  </si>
  <si>
    <t xml:space="preserve"> Расхаживание на вира до 97т,  разгрузка на Майна  до 0т. работа ясом как вниз так и на верх.  Наворот пружины до 22кН при своем весе 54т, разгрузка до 0т. Подкачка бурового раствора 0,5м5</t>
  </si>
  <si>
    <t xml:space="preserve"> Расхаживание на вира до 97т,  разгрузка на Майна  до 0т. работа ясом как вниз так и на верх.  Наворот пружины до 22кН при своем весе 54т, разгрузка до 0т. Подкачка бурового раствора 0,5м6</t>
  </si>
  <si>
    <t xml:space="preserve"> Расхаживание на вира до 97т,  разгрузка на Майна  до 0т. ясом перестал работаь как вниз так и на верх.  Лана провеНаворот пружины до 22кН при своем весе 54т, разгрузка до 0т. Проведенее селекторного совещания, обсуждение дальнейшего плана работ</t>
  </si>
  <si>
    <t xml:space="preserve">Промывка при Q-9л/с Р-45атм, </t>
  </si>
  <si>
    <t>Промывка при Q-9л/с Р-49атм, вымыв противоприхватной ванны</t>
  </si>
  <si>
    <t>Расхаживание на вира до 125т,  разгрузка на Майна  до 0т. .  Наворот пружины до 25кН при своем весе 54т, разгрузка до 0т.  Набор тех воды в V=70м3, Заготовлено 30м3 полимерной жидкости</t>
  </si>
  <si>
    <t>ГИС (Прихватоопределитель)</t>
  </si>
  <si>
    <t>ПЗР к переводу скважины на полимерную воду</t>
  </si>
  <si>
    <t>ГИС (Прихватоопределитель). Интерпритация свободное хождение до гл.1764,5м. Прибор дошел до гл 1780м</t>
  </si>
  <si>
    <t>Промывка. Перевод наполимерную воду. Прокачали 50м3</t>
  </si>
  <si>
    <t xml:space="preserve"> Расхаживание на вира до 118т,  разгрузка на Майна  до 0т. Наворот пружины до 19кН при своем весе 57т, разгрузка до 0т.</t>
  </si>
  <si>
    <t>Промывка.  Q=20л/с. Р=88атм. Расхаживание на вира до 118т,  разгрузка на Майна  до 0т. Наворот пружины до 25кН при своем весе 57т, разгрузка до 0т. ПЗР к установке кислотной ванны</t>
  </si>
  <si>
    <t>Промывка.  Q=30л/с. Р=88атм. Расхаживание на вира до 118т,  разгрузка на Майна  до 0т. Наворот пружины до 25кН при своем весе 57т, разгрузка до 0т. Сигнал т/с отсутствует.</t>
  </si>
  <si>
    <t>Промывка. Перевод наполимерную воду. Прокачали 20м3</t>
  </si>
  <si>
    <t>Продувка манифольдной линии. ПЗР к у становке 3 кислотной ванны</t>
  </si>
  <si>
    <t>Установка 3 кислотной ванны.  Закачка 4м3 кислоты HCl 19%.  Закачка полимерной воды 13,5м3.</t>
  </si>
  <si>
    <t xml:space="preserve">Стоянка 1,0ч. Подкачка полимерной водой 0,5м3 </t>
  </si>
  <si>
    <t xml:space="preserve"> Расхаживание на вира до 118т,  разгрузка на Майна  до 0т. Наворот пружины до 22кН при своем весе 54т, разгрузка до 0т. Подкачка полимерной водой 0,5м3 </t>
  </si>
  <si>
    <t xml:space="preserve"> Расхаживание на вира до 118т,  разгрузка на Майна  до 0т. Наворот пружины до 22кН при своем весе 54т, разгрузка до 0т. Подкачка полимерной водой 0,5м4</t>
  </si>
  <si>
    <t xml:space="preserve"> Расхаживание на вира до 118т,  разгрузка на Майна  до 0т. Наворот пружины до 22кН при своем весе 54т, разгрузка до 0т. Подкачка полимерной водой 0,5м5</t>
  </si>
  <si>
    <t xml:space="preserve"> Расхаживание на вира до 118т,  разгрузка на Майна  до 0т. Наворот пружины до 22кН при своем весе 54т, разгрузка до 0т. Подкачка полимерной водой 0,5м6</t>
  </si>
  <si>
    <t xml:space="preserve"> Расхаживание на вира до 118т,  разгрузка на Майна  до 0т. Наворот пружины до 22кН при своем весе 54т, разгрузка до 0т. Подкачка полимерной водой 0,5м7</t>
  </si>
  <si>
    <t xml:space="preserve"> Расхаживание на вира до 118т,  разгрузка на Майна  до 0т. Наворот пружины до 22кН при своем весе 54т, разгрузка до 0т.</t>
  </si>
  <si>
    <t>Промывка при Q-9л/с Р-45атм, вымыв противоприхватной ванны. Продувка манифольдной линии</t>
  </si>
  <si>
    <t>ГИС(прострелочно-взрывные работы)Шаблон 42мм до гл.1780м.</t>
  </si>
  <si>
    <t xml:space="preserve"> Расхаживание на вира до 118т,  разгрузка на Майна  до 0т. Наворот пружины до 22кН при своем весе 54т, разгрузка до 0т. Партия ГИС стоянка по метео  -34. Продувка манифольдной линии</t>
  </si>
  <si>
    <t>ГИС(прострелочно-взрывные работы)Запись ГК,ЛМ в инт. 1670-1780м, Спуск и активация ДШТ в инт.1780-1760м</t>
  </si>
  <si>
    <t>Расхаживание в инт. весов 128-0т, создание пружины до 25кН/м</t>
  </si>
  <si>
    <t>ГИС(ПВР) Спуск и активация ДШТ в инт.1780-1760м(2-ой рейс)</t>
  </si>
  <si>
    <t>ПЗР к промывке с выходом на режим через ЦА320</t>
  </si>
  <si>
    <t xml:space="preserve">Промывка через ЦА-320 Q=4-6л/с, P=25-55атм, </t>
  </si>
  <si>
    <t>ПЗР к промывке. Отогрев оборудования.</t>
  </si>
  <si>
    <t xml:space="preserve">ПЗР к промывке. Отогрев оборудования. Партия ГИС стоянка по метео t -36. </t>
  </si>
  <si>
    <t>Промывка с расхаживанием инструмента в инт. весов 0-106т. Q=9л/с, Р=115атм. Создание пружины до М=25кН/м</t>
  </si>
  <si>
    <t>ГИС(прострелочно-взрывные работы) запись ГК,ЛМ в инт. 1670-1780м, Спуск шаблон 42мм, Спуск и активация Тайпан Ф-42. 1-й заряд (+), 2-ой заряд не сработал.</t>
  </si>
  <si>
    <t>Подготовительные работы к повторному спуску 2го заряда Тайпан Ф-42</t>
  </si>
  <si>
    <t>ГИС(прострелочно-взрывные работы) Повтрный спуск и активация 2-гт заряда Тайпан Ф-42.  (+) в инт.1780м</t>
  </si>
  <si>
    <t>Отогрев оборудования. Расхаживание в инт. весов 110-0т, Наворот пружины до 22кН при своем весе 54т, разгрузка до 0т.</t>
  </si>
  <si>
    <t xml:space="preserve"> Расхаживание в инт. весов с пружиной 25 кН на вира 64т. на майна до 0т. Без пружины на вира до 120 т. </t>
  </si>
  <si>
    <t xml:space="preserve">Промывка с расхаживанием инструмента в инт. весов 22-60т. Q=7л/с, Р=125атм. </t>
  </si>
  <si>
    <t>Расхаживание на вира до 120тн  разгрузка на майна  до 0тн. Ожидание плана дальнейших работ.</t>
  </si>
  <si>
    <t>Ремонт. Замена цепи привода бур.лебедки. (Цепь в наличии производиться замена)</t>
  </si>
  <si>
    <t>Подъем аварийной КНБК (поднято 18св.). Вес на вира 54,6тн. Подъем без затяжек</t>
  </si>
  <si>
    <t xml:space="preserve">   Согласно плана работ: Разгрузка на майна  до 0тн. Вытяжка инструмента до 1,5тн. Создание пружины 5,5оборотов 25кН/м. Не снимая крут. Момент произвели разгрузку до 0тн. Провал вниз 0,9м- подвижность инструмента с вращением М=14-17кН/м. до полной остановки вращения. Подьем БИ-вытянули 7м.Вес на вира 58-55тн </t>
  </si>
  <si>
    <t>Подъем аварийной КНБК (поднято 31св.)Аварийный забой 1805м поднято 580м Подъем без затяжек</t>
  </si>
  <si>
    <t>Подъем аварийной КНБК (поднято 31св.)Аварийный забой 1805-27м Подъем без затяжек</t>
  </si>
  <si>
    <t>Разборка аварийной КНБК в инт. 27-0м. КНБК подняли полностью. Ревизия КНБК</t>
  </si>
  <si>
    <t>Сборка и спуск РКНБК на нормализацию ствола скважины с промежуточными промывками на гл. 300м., 1237м в инт. 0-1237м</t>
  </si>
  <si>
    <t>Сборка и спуск РКНБК на нормализацию ствола скважины с промежуточными промывками на гл. 1768м в инт. 1237-1786м</t>
  </si>
  <si>
    <t>Проработка в инт. 1786-1805м. P=38атм, Q=28л/с G=0,2-1т</t>
  </si>
  <si>
    <t>Спуск КНБК в инт. 1240-1787м.</t>
  </si>
  <si>
    <t>Подъем КНБК в инт. 1805-1240м. ЗГР 25м3 БР р=1,22г/см3</t>
  </si>
  <si>
    <t>Промывка перевод скв. на БР</t>
  </si>
  <si>
    <t>ЗГР V=25м3,p=1,22г/см3</t>
  </si>
  <si>
    <t>Спуск КНБК с проработкой в инт. 1787-1809м.P=44-41атм, Q=28-25л/с G=0,2-4т</t>
  </si>
  <si>
    <t>Опрессовка Цем. моста на гл1809м. 2 раза по G=8т. 3мин. Q=10л/с, Р=9атм, Подготовка к переводу скважины на БР.</t>
  </si>
  <si>
    <t xml:space="preserve">Промывка </t>
  </si>
  <si>
    <t>Подъём РКНБК в инт. 1809-430м</t>
  </si>
  <si>
    <t>Подъём РКНБК в инт. 430-0м</t>
  </si>
  <si>
    <t>ЗГР V=25м3,p=1,22г/см3, чистка емкостей</t>
  </si>
  <si>
    <t>Сборка КНБК в инт. 0-27м. Опрессовка ВЗД и т/с.</t>
  </si>
  <si>
    <t>Спуск КНБК в инт.27-1738м. W=42т</t>
  </si>
  <si>
    <t>Промывка в инт. 1738-1758м. Перезапись ГК в инт.1758-1783м</t>
  </si>
  <si>
    <t>Перезапись ГК в инт.1758-1783м.Спуск с проработкой в 1794-1804м.  P=101атм, Q=34л/с, W=43т. По привязке ГК голова цем. моста на гл. 1804м. Подбуривание 1м в  режиме  P=114атм, Q=35л/с, W=41т, M=2кН/м, N=10об/мин, G=4т</t>
  </si>
  <si>
    <t>РЦМ в инт. 1804-1806м</t>
  </si>
  <si>
    <t>Опрессовка цем. Моста разгрузкой 9т.-2 раза.(+)</t>
  </si>
  <si>
    <t>Тест на хождение БИ (чисто).  Тест на прихват (1,3,5мин)</t>
  </si>
  <si>
    <t>Авария закрыта. В 4:10ч. Зарезка транспортного ствола в инт. 1806-1809м.</t>
  </si>
  <si>
    <t>отогрев оборудования. Ключ ZQ-203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</si>
</sst>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8"/>
      <color theme="1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7">
    <xf numFmtId="0" fontId="0" fillId="0" borderId="0" xfId="0"/>
    <xf numFmtId="0" fontId="0" fillId="0" borderId="0" xfId="0" applyAlignment="1"/>
    <xf numFmtId="0" fontId="0" fillId="0" borderId="0" xfId="0" applyAlignment="1" applyProtection="1">
      <alignment horizontal="right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0" fillId="0" borderId="0" xfId="0" applyBorder="1"/>
    <xf numFmtId="0" fontId="5" fillId="2" borderId="1" xfId="1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9" fillId="0" borderId="0" xfId="0" applyFont="1" applyAlignment="1">
      <alignment horizontal="left" vertical="top" wrapText="1"/>
    </xf>
    <xf numFmtId="2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14" fontId="2" fillId="2" borderId="12" xfId="0" applyNumberFormat="1" applyFont="1" applyFill="1" applyBorder="1" applyAlignment="1" applyProtection="1">
      <alignment vertical="center"/>
      <protection locked="0"/>
    </xf>
    <xf numFmtId="14" fontId="2" fillId="2" borderId="3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0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14" fontId="2" fillId="2" borderId="12" xfId="0" applyNumberFormat="1" applyFont="1" applyFill="1" applyBorder="1" applyAlignment="1" applyProtection="1">
      <alignment horizontal="center" vertical="center"/>
      <protection locked="0"/>
    </xf>
    <xf numFmtId="14" fontId="2" fillId="2" borderId="3" xfId="0" applyNumberFormat="1" applyFont="1" applyFill="1" applyBorder="1" applyAlignment="1" applyProtection="1">
      <alignment horizontal="center" vertical="center"/>
      <protection locked="0"/>
    </xf>
    <xf numFmtId="14" fontId="2" fillId="2" borderId="7" xfId="0" applyNumberFormat="1" applyFont="1" applyFill="1" applyBorder="1" applyAlignment="1" applyProtection="1">
      <alignment vertical="center"/>
      <protection locked="0"/>
    </xf>
    <xf numFmtId="14" fontId="2" fillId="2" borderId="2" xfId="0" applyNumberFormat="1" applyFont="1" applyFill="1" applyBorder="1" applyAlignment="1" applyProtection="1">
      <alignment vertical="center"/>
      <protection locked="0"/>
    </xf>
    <xf numFmtId="14" fontId="2" fillId="2" borderId="13" xfId="0" applyNumberFormat="1" applyFont="1" applyFill="1" applyBorder="1" applyAlignment="1" applyProtection="1">
      <alignment vertical="center"/>
      <protection locked="0"/>
    </xf>
    <xf numFmtId="14" fontId="2" fillId="2" borderId="4" xfId="0" applyNumberFormat="1" applyFont="1" applyFill="1" applyBorder="1" applyAlignment="1" applyProtection="1">
      <alignment vertical="center"/>
      <protection locked="0"/>
    </xf>
    <xf numFmtId="0" fontId="0" fillId="0" borderId="14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14" fontId="0" fillId="0" borderId="3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2" fillId="2" borderId="2" xfId="0" applyNumberFormat="1" applyFont="1" applyFill="1" applyBorder="1" applyAlignment="1" applyProtection="1">
      <alignment horizontal="center" vertical="center"/>
      <protection locked="0"/>
    </xf>
    <xf numFmtId="14" fontId="2" fillId="2" borderId="0" xfId="0" applyNumberFormat="1" applyFont="1" applyFill="1" applyBorder="1" applyAlignment="1" applyProtection="1">
      <alignment horizontal="center" vertical="center"/>
      <protection locked="0"/>
    </xf>
    <xf numFmtId="1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10" xfId="0" applyFont="1" applyFill="1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vertical="center" wrapText="1"/>
      <protection locked="0"/>
    </xf>
    <xf numFmtId="0" fontId="2" fillId="2" borderId="14" xfId="0" applyFont="1" applyFill="1" applyBorder="1" applyAlignment="1" applyProtection="1">
      <alignment vertical="center" wrapText="1"/>
      <protection locked="0"/>
    </xf>
    <xf numFmtId="0" fontId="2" fillId="2" borderId="10" xfId="0" applyFont="1" applyFill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horizontal="center" vertical="top"/>
    </xf>
    <xf numFmtId="0" fontId="0" fillId="0" borderId="6" xfId="0" applyBorder="1" applyAlignment="1" applyProtection="1">
      <alignment horizontal="center" vertical="top"/>
    </xf>
    <xf numFmtId="0" fontId="0" fillId="0" borderId="6" xfId="0" applyBorder="1" applyAlignment="1" applyProtection="1"/>
    <xf numFmtId="0" fontId="0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right"/>
      <protection locked="0"/>
    </xf>
    <xf numFmtId="0" fontId="3" fillId="0" borderId="0" xfId="0" applyFont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/>
    <xf numFmtId="22" fontId="2" fillId="4" borderId="7" xfId="0" applyNumberFormat="1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</xf>
    <xf numFmtId="22" fontId="2" fillId="2" borderId="7" xfId="0" applyNumberFormat="1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1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13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/>
    </xf>
    <xf numFmtId="0" fontId="0" fillId="0" borderId="0" xfId="0" applyAlignment="1" applyProtection="1">
      <alignment horizontal="right"/>
    </xf>
    <xf numFmtId="14" fontId="2" fillId="2" borderId="7" xfId="0" applyNumberFormat="1" applyFont="1" applyFill="1" applyBorder="1" applyAlignment="1" applyProtection="1">
      <alignment horizontal="center" vertical="center"/>
      <protection locked="0"/>
    </xf>
    <xf numFmtId="14" fontId="2" fillId="2" borderId="12" xfId="0" applyNumberFormat="1" applyFont="1" applyFill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 vertical="center"/>
      <protection locked="0"/>
    </xf>
    <xf numFmtId="0" fontId="0" fillId="2" borderId="6" xfId="0" applyFont="1" applyFill="1" applyBorder="1" applyAlignment="1" applyProtection="1">
      <alignment horizontal="center" vertical="center"/>
      <protection locked="0"/>
    </xf>
    <xf numFmtId="0" fontId="0" fillId="2" borderId="2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</xf>
    <xf numFmtId="0" fontId="0" fillId="2" borderId="10" xfId="0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left" vertical="center"/>
    </xf>
    <xf numFmtId="0" fontId="2" fillId="2" borderId="8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</cellXfs>
  <cellStyles count="2">
    <cellStyle name="Обычный" xfId="0" builtinId="0"/>
    <cellStyle name="Обычный_2-Новый суточный рапорт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85725</xdr:rowOff>
    </xdr:from>
    <xdr:to>
      <xdr:col>7</xdr:col>
      <xdr:colOff>0</xdr:colOff>
      <xdr:row>3</xdr:row>
      <xdr:rowOff>152400</xdr:rowOff>
    </xdr:to>
    <xdr:pic>
      <xdr:nvPicPr>
        <xdr:cNvPr id="3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293"/>
        <a:stretch>
          <a:fillRect/>
        </a:stretch>
      </xdr:blipFill>
      <xdr:spPr bwMode="auto">
        <a:xfrm>
          <a:off x="228600" y="85725"/>
          <a:ext cx="17811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V1568"/>
  <sheetViews>
    <sheetView tabSelected="1" view="pageBreakPreview" topLeftCell="A87" zoomScale="110" zoomScaleNormal="100" zoomScaleSheetLayoutView="110" workbookViewId="0">
      <selection activeCell="Q93" sqref="Q93"/>
    </sheetView>
  </sheetViews>
  <sheetFormatPr defaultRowHeight="15" x14ac:dyDescent="0.25"/>
  <cols>
    <col min="1" max="1" width="3.28515625" customWidth="1"/>
    <col min="2" max="2" width="1.85546875" customWidth="1"/>
    <col min="3" max="3" width="1.5703125" customWidth="1"/>
    <col min="4" max="4" width="8.7109375" customWidth="1"/>
    <col min="5" max="5" width="5.28515625" customWidth="1"/>
    <col min="6" max="6" width="9.140625" customWidth="1"/>
    <col min="7" max="7" width="9.7109375" customWidth="1"/>
    <col min="8" max="8" width="8.140625" customWidth="1"/>
    <col min="9" max="9" width="8" customWidth="1"/>
    <col min="10" max="10" width="8.85546875" customWidth="1"/>
    <col min="11" max="11" width="6.85546875" customWidth="1"/>
    <col min="12" max="12" width="10.5703125" customWidth="1"/>
    <col min="13" max="16" width="8.85546875" customWidth="1"/>
    <col min="17" max="17" width="10.7109375" customWidth="1"/>
    <col min="18" max="18" width="4" customWidth="1"/>
    <col min="19" max="19" width="1.7109375" customWidth="1"/>
    <col min="20" max="20" width="5.42578125" customWidth="1"/>
    <col min="21" max="21" width="14.42578125" customWidth="1"/>
    <col min="22" max="22" width="3" customWidth="1"/>
  </cols>
  <sheetData>
    <row r="2" spans="3:22" ht="5.25" customHeight="1" x14ac:dyDescent="0.25"/>
    <row r="3" spans="3:22" ht="18.75" x14ac:dyDescent="0.25">
      <c r="I3" s="64" t="s">
        <v>35</v>
      </c>
      <c r="J3" s="64"/>
      <c r="K3" s="64"/>
      <c r="L3" s="64"/>
      <c r="M3" s="64"/>
      <c r="N3" s="64"/>
      <c r="O3" s="64"/>
      <c r="P3" s="64"/>
      <c r="Q3" s="64"/>
    </row>
    <row r="4" spans="3:22" x14ac:dyDescent="0.25"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3:22" ht="24" customHeight="1" x14ac:dyDescent="0.25">
      <c r="D5" s="45" t="s">
        <v>12</v>
      </c>
      <c r="E5" s="45"/>
      <c r="F5" s="45"/>
      <c r="G5" s="45"/>
      <c r="H5" s="128" t="s">
        <v>9</v>
      </c>
      <c r="I5" s="129"/>
      <c r="J5" s="21" t="s">
        <v>52</v>
      </c>
      <c r="K5" s="44" t="s">
        <v>18</v>
      </c>
      <c r="L5" s="45"/>
      <c r="M5" s="100" t="s">
        <v>42</v>
      </c>
      <c r="N5" s="101"/>
      <c r="O5" s="101"/>
      <c r="P5" s="101"/>
      <c r="Q5" s="76" t="s">
        <v>43</v>
      </c>
      <c r="R5" s="76"/>
      <c r="S5" s="45"/>
      <c r="T5" s="67" t="s">
        <v>44</v>
      </c>
      <c r="U5" s="68"/>
      <c r="V5" s="1"/>
    </row>
    <row r="6" spans="3:22" ht="24" customHeight="1" x14ac:dyDescent="0.25">
      <c r="C6" s="5"/>
      <c r="D6" s="125" t="s">
        <v>45</v>
      </c>
      <c r="E6" s="126"/>
      <c r="F6" s="126"/>
      <c r="G6" s="127"/>
      <c r="H6" s="81" t="s">
        <v>23</v>
      </c>
      <c r="I6" s="108"/>
      <c r="J6" s="22" t="s">
        <v>56</v>
      </c>
      <c r="K6" s="102" t="s">
        <v>21</v>
      </c>
      <c r="L6" s="104"/>
      <c r="M6" s="102">
        <v>307</v>
      </c>
      <c r="N6" s="103"/>
      <c r="O6" s="103"/>
      <c r="P6" s="104"/>
      <c r="Q6" s="105" t="s">
        <v>0</v>
      </c>
      <c r="R6" s="106"/>
      <c r="S6" s="107"/>
      <c r="T6" s="69" t="s">
        <v>46</v>
      </c>
      <c r="U6" s="70"/>
    </row>
    <row r="7" spans="3:22" ht="24" customHeight="1" x14ac:dyDescent="0.25">
      <c r="C7" s="5"/>
      <c r="D7" s="76" t="s">
        <v>13</v>
      </c>
      <c r="E7" s="76"/>
      <c r="F7" s="76"/>
      <c r="G7" s="76"/>
      <c r="H7" s="65" t="s">
        <v>24</v>
      </c>
      <c r="I7" s="66"/>
      <c r="J7" s="23" t="s">
        <v>55</v>
      </c>
      <c r="K7" s="44" t="s">
        <v>22</v>
      </c>
      <c r="L7" s="45"/>
      <c r="M7" s="102" t="s">
        <v>50</v>
      </c>
      <c r="N7" s="103"/>
      <c r="O7" s="103"/>
      <c r="P7" s="104"/>
      <c r="Q7" s="44" t="s">
        <v>16</v>
      </c>
      <c r="R7" s="45"/>
      <c r="S7" s="45"/>
      <c r="T7" s="77">
        <v>44563.597222222219</v>
      </c>
      <c r="U7" s="78"/>
    </row>
    <row r="8" spans="3:22" ht="24" customHeight="1" x14ac:dyDescent="0.25">
      <c r="C8" s="5"/>
      <c r="D8" s="119" t="s">
        <v>47</v>
      </c>
      <c r="E8" s="120"/>
      <c r="F8" s="120"/>
      <c r="G8" s="120"/>
      <c r="H8" s="81" t="s">
        <v>19</v>
      </c>
      <c r="I8" s="82"/>
      <c r="J8" s="67" t="s">
        <v>57</v>
      </c>
      <c r="K8" s="44" t="s">
        <v>8</v>
      </c>
      <c r="L8" s="44"/>
      <c r="M8" s="94" t="s">
        <v>51</v>
      </c>
      <c r="N8" s="94"/>
      <c r="O8" s="94"/>
      <c r="P8" s="95"/>
      <c r="Q8" s="45"/>
      <c r="R8" s="45"/>
      <c r="S8" s="45"/>
      <c r="T8" s="79"/>
      <c r="U8" s="80"/>
    </row>
    <row r="9" spans="3:22" ht="9" customHeight="1" x14ac:dyDescent="0.25">
      <c r="C9" s="5"/>
      <c r="D9" s="130" t="s">
        <v>10</v>
      </c>
      <c r="E9" s="117">
        <v>700</v>
      </c>
      <c r="F9" s="135" t="s">
        <v>11</v>
      </c>
      <c r="G9" s="117">
        <v>703</v>
      </c>
      <c r="H9" s="83"/>
      <c r="I9" s="84"/>
      <c r="J9" s="87"/>
      <c r="K9" s="44"/>
      <c r="L9" s="44"/>
      <c r="M9" s="96"/>
      <c r="N9" s="96"/>
      <c r="O9" s="96"/>
      <c r="P9" s="97"/>
      <c r="Q9" s="44" t="s">
        <v>17</v>
      </c>
      <c r="R9" s="43"/>
      <c r="S9" s="43"/>
      <c r="T9" s="72"/>
      <c r="U9" s="73"/>
    </row>
    <row r="10" spans="3:22" ht="69" customHeight="1" x14ac:dyDescent="0.25">
      <c r="C10" s="5"/>
      <c r="D10" s="131"/>
      <c r="E10" s="118"/>
      <c r="F10" s="136"/>
      <c r="G10" s="118"/>
      <c r="H10" s="85"/>
      <c r="I10" s="86"/>
      <c r="J10" s="87"/>
      <c r="K10" s="44"/>
      <c r="L10" s="44"/>
      <c r="M10" s="98"/>
      <c r="N10" s="98"/>
      <c r="O10" s="98"/>
      <c r="P10" s="99"/>
      <c r="Q10" s="43"/>
      <c r="R10" s="43"/>
      <c r="S10" s="43"/>
      <c r="T10" s="74"/>
      <c r="U10" s="75"/>
    </row>
    <row r="11" spans="3:22" ht="5.25" customHeight="1" x14ac:dyDescent="0.25">
      <c r="C11" s="5"/>
      <c r="D11" s="81" t="s">
        <v>20</v>
      </c>
      <c r="E11" s="108"/>
      <c r="F11" s="132" t="s">
        <v>54</v>
      </c>
      <c r="G11" s="113"/>
      <c r="H11" s="81" t="s">
        <v>7</v>
      </c>
      <c r="I11" s="108"/>
      <c r="J11" s="111" t="s">
        <v>71</v>
      </c>
      <c r="K11" s="112"/>
      <c r="L11" s="112"/>
      <c r="M11" s="112"/>
      <c r="N11" s="112"/>
      <c r="O11" s="112"/>
      <c r="P11" s="113"/>
      <c r="Q11" s="44" t="s">
        <v>41</v>
      </c>
      <c r="R11" s="43"/>
      <c r="S11" s="43"/>
      <c r="T11" s="88" t="s">
        <v>70</v>
      </c>
      <c r="U11" s="89"/>
    </row>
    <row r="12" spans="3:22" ht="81.75" customHeight="1" x14ac:dyDescent="0.25">
      <c r="C12" s="5"/>
      <c r="D12" s="109"/>
      <c r="E12" s="110"/>
      <c r="F12" s="114"/>
      <c r="G12" s="116"/>
      <c r="H12" s="109"/>
      <c r="I12" s="110"/>
      <c r="J12" s="114"/>
      <c r="K12" s="115"/>
      <c r="L12" s="115"/>
      <c r="M12" s="115"/>
      <c r="N12" s="115"/>
      <c r="O12" s="115"/>
      <c r="P12" s="116"/>
      <c r="Q12" s="76"/>
      <c r="R12" s="43"/>
      <c r="S12" s="43"/>
      <c r="T12" s="90"/>
      <c r="U12" s="91"/>
    </row>
    <row r="13" spans="3:22" ht="33.75" customHeight="1" x14ac:dyDescent="0.25">
      <c r="C13" s="5"/>
      <c r="D13" s="81" t="s">
        <v>25</v>
      </c>
      <c r="E13" s="108"/>
      <c r="F13" s="133" t="s">
        <v>53</v>
      </c>
      <c r="G13" s="95"/>
      <c r="H13" s="8" t="s">
        <v>26</v>
      </c>
      <c r="I13" s="9" t="s">
        <v>27</v>
      </c>
      <c r="J13" s="8" t="s">
        <v>32</v>
      </c>
      <c r="K13" s="8" t="s">
        <v>33</v>
      </c>
      <c r="L13" s="8" t="s">
        <v>34</v>
      </c>
      <c r="M13" s="8" t="s">
        <v>28</v>
      </c>
      <c r="N13" s="8" t="s">
        <v>29</v>
      </c>
      <c r="O13" s="8" t="s">
        <v>30</v>
      </c>
      <c r="P13" s="8" t="s">
        <v>31</v>
      </c>
      <c r="Q13" s="76"/>
      <c r="R13" s="43"/>
      <c r="S13" s="43"/>
      <c r="T13" s="90"/>
      <c r="U13" s="91"/>
    </row>
    <row r="14" spans="3:22" ht="35.25" customHeight="1" x14ac:dyDescent="0.25">
      <c r="C14" s="5"/>
      <c r="D14" s="109"/>
      <c r="E14" s="110"/>
      <c r="F14" s="134"/>
      <c r="G14" s="99"/>
      <c r="H14" s="10" t="s">
        <v>48</v>
      </c>
      <c r="I14" s="11" t="s">
        <v>36</v>
      </c>
      <c r="J14" s="8" t="s">
        <v>36</v>
      </c>
      <c r="K14" s="8" t="s">
        <v>40</v>
      </c>
      <c r="L14" s="8" t="s">
        <v>39</v>
      </c>
      <c r="M14" s="8" t="s">
        <v>39</v>
      </c>
      <c r="N14" s="8" t="s">
        <v>37</v>
      </c>
      <c r="O14" s="8" t="s">
        <v>38</v>
      </c>
      <c r="P14" s="8" t="s">
        <v>37</v>
      </c>
      <c r="Q14" s="43"/>
      <c r="R14" s="43"/>
      <c r="S14" s="43"/>
      <c r="T14" s="92"/>
      <c r="U14" s="93"/>
    </row>
    <row r="15" spans="3:22" ht="30" x14ac:dyDescent="0.25">
      <c r="D15" s="43" t="s">
        <v>1</v>
      </c>
      <c r="E15" s="43"/>
      <c r="F15" s="6" t="s">
        <v>2</v>
      </c>
      <c r="G15" s="6" t="s">
        <v>3</v>
      </c>
      <c r="H15" s="43" t="s">
        <v>4</v>
      </c>
      <c r="I15" s="43"/>
      <c r="J15" s="43"/>
      <c r="K15" s="43"/>
      <c r="L15" s="43"/>
      <c r="M15" s="43"/>
      <c r="N15" s="43"/>
      <c r="O15" s="43"/>
      <c r="P15" s="43"/>
      <c r="Q15" s="43" t="s">
        <v>5</v>
      </c>
      <c r="R15" s="71"/>
      <c r="S15" s="71"/>
      <c r="T15" s="71"/>
      <c r="U15" s="71"/>
    </row>
    <row r="16" spans="3:22" ht="9.75" customHeight="1" x14ac:dyDescent="0.25">
      <c r="D16" s="43">
        <v>1</v>
      </c>
      <c r="E16" s="43"/>
      <c r="F16" s="7">
        <v>2</v>
      </c>
      <c r="G16" s="7">
        <v>3</v>
      </c>
      <c r="H16" s="43">
        <v>4</v>
      </c>
      <c r="I16" s="43"/>
      <c r="J16" s="43"/>
      <c r="K16" s="43"/>
      <c r="L16" s="43"/>
      <c r="M16" s="43"/>
      <c r="N16" s="43"/>
      <c r="O16" s="43"/>
      <c r="P16" s="43"/>
      <c r="Q16" s="43">
        <v>5</v>
      </c>
      <c r="R16" s="43"/>
      <c r="S16" s="43"/>
      <c r="T16" s="43"/>
      <c r="U16" s="43"/>
    </row>
    <row r="17" spans="4:21" ht="84.75" customHeight="1" x14ac:dyDescent="0.25">
      <c r="D17" s="123">
        <v>44928</v>
      </c>
      <c r="E17" s="47"/>
      <c r="F17" s="12">
        <v>0.59722222222222221</v>
      </c>
      <c r="G17" s="12">
        <v>0.69791666666666663</v>
      </c>
      <c r="H17" s="56" t="s">
        <v>58</v>
      </c>
      <c r="I17" s="57"/>
      <c r="J17" s="57"/>
      <c r="K17" s="57"/>
      <c r="L17" s="57"/>
      <c r="M17" s="57"/>
      <c r="N17" s="57"/>
      <c r="O17" s="57"/>
      <c r="P17" s="58"/>
      <c r="Q17" s="53"/>
      <c r="R17" s="54"/>
      <c r="S17" s="54"/>
      <c r="T17" s="54"/>
      <c r="U17" s="55"/>
    </row>
    <row r="18" spans="4:21" ht="36" customHeight="1" x14ac:dyDescent="0.25">
      <c r="D18" s="124"/>
      <c r="E18" s="49"/>
      <c r="F18" s="12">
        <f>G17</f>
        <v>0.69791666666666663</v>
      </c>
      <c r="G18" s="12">
        <v>0.75</v>
      </c>
      <c r="H18" s="56" t="s">
        <v>59</v>
      </c>
      <c r="I18" s="57"/>
      <c r="J18" s="57"/>
      <c r="K18" s="57"/>
      <c r="L18" s="57"/>
      <c r="M18" s="57"/>
      <c r="N18" s="57"/>
      <c r="O18" s="57"/>
      <c r="P18" s="58"/>
      <c r="Q18" s="53"/>
      <c r="R18" s="54"/>
      <c r="S18" s="54"/>
      <c r="T18" s="54"/>
      <c r="U18" s="55"/>
    </row>
    <row r="19" spans="4:21" ht="57.75" customHeight="1" x14ac:dyDescent="0.25">
      <c r="D19" s="19"/>
      <c r="E19" s="20"/>
      <c r="F19" s="12">
        <f>G18</f>
        <v>0.75</v>
      </c>
      <c r="G19" s="12">
        <v>0.79166666666666663</v>
      </c>
      <c r="H19" s="56" t="s">
        <v>60</v>
      </c>
      <c r="I19" s="57"/>
      <c r="J19" s="57"/>
      <c r="K19" s="57"/>
      <c r="L19" s="57"/>
      <c r="M19" s="57"/>
      <c r="N19" s="57"/>
      <c r="O19" s="57"/>
      <c r="P19" s="58"/>
      <c r="Q19" s="53"/>
      <c r="R19" s="54"/>
      <c r="S19" s="54"/>
      <c r="T19" s="54"/>
      <c r="U19" s="55"/>
    </row>
    <row r="20" spans="4:21" ht="80.25" customHeight="1" x14ac:dyDescent="0.25">
      <c r="D20" s="19"/>
      <c r="E20" s="20"/>
      <c r="F20" s="12">
        <f>G19</f>
        <v>0.79166666666666663</v>
      </c>
      <c r="G20" s="12">
        <v>0.95833333333333337</v>
      </c>
      <c r="H20" s="50" t="s">
        <v>63</v>
      </c>
      <c r="I20" s="51"/>
      <c r="J20" s="51"/>
      <c r="K20" s="51"/>
      <c r="L20" s="51"/>
      <c r="M20" s="51"/>
      <c r="N20" s="51"/>
      <c r="O20" s="51"/>
      <c r="P20" s="52"/>
      <c r="Q20" s="53" t="s">
        <v>49</v>
      </c>
      <c r="R20" s="54"/>
      <c r="S20" s="54"/>
      <c r="T20" s="54"/>
      <c r="U20" s="55"/>
    </row>
    <row r="21" spans="4:21" ht="42" customHeight="1" x14ac:dyDescent="0.25">
      <c r="D21" s="19"/>
      <c r="E21" s="20"/>
      <c r="F21" s="12">
        <f>G20</f>
        <v>0.95833333333333337</v>
      </c>
      <c r="G21" s="12">
        <v>1</v>
      </c>
      <c r="H21" s="50" t="s">
        <v>61</v>
      </c>
      <c r="I21" s="51"/>
      <c r="J21" s="51"/>
      <c r="K21" s="51"/>
      <c r="L21" s="51"/>
      <c r="M21" s="51"/>
      <c r="N21" s="51"/>
      <c r="O21" s="51"/>
      <c r="P21" s="52"/>
      <c r="Q21" s="13"/>
      <c r="R21" s="14"/>
      <c r="S21" s="14"/>
      <c r="T21" s="14"/>
      <c r="U21" s="15"/>
    </row>
    <row r="22" spans="4:21" ht="51" customHeight="1" x14ac:dyDescent="0.25">
      <c r="D22" s="32">
        <v>44929</v>
      </c>
      <c r="E22" s="33"/>
      <c r="F22" s="12">
        <v>0</v>
      </c>
      <c r="G22" s="12">
        <v>0.16666666666666666</v>
      </c>
      <c r="H22" s="50" t="s">
        <v>62</v>
      </c>
      <c r="I22" s="51"/>
      <c r="J22" s="51"/>
      <c r="K22" s="51"/>
      <c r="L22" s="51"/>
      <c r="M22" s="51"/>
      <c r="N22" s="51"/>
      <c r="O22" s="51"/>
      <c r="P22" s="52"/>
      <c r="Q22" s="53"/>
      <c r="R22" s="54"/>
      <c r="S22" s="54"/>
      <c r="T22" s="54"/>
      <c r="U22" s="55"/>
    </row>
    <row r="23" spans="4:21" ht="21" customHeight="1" x14ac:dyDescent="0.25">
      <c r="D23" s="19"/>
      <c r="E23" s="20"/>
      <c r="F23" s="12">
        <v>0.16666666666666666</v>
      </c>
      <c r="G23" s="12">
        <v>0.1875</v>
      </c>
      <c r="H23" s="50" t="s">
        <v>64</v>
      </c>
      <c r="I23" s="51"/>
      <c r="J23" s="51"/>
      <c r="K23" s="51"/>
      <c r="L23" s="51"/>
      <c r="M23" s="51"/>
      <c r="N23" s="51"/>
      <c r="O23" s="51"/>
      <c r="P23" s="52"/>
      <c r="Q23" s="53"/>
      <c r="R23" s="54"/>
      <c r="S23" s="54"/>
      <c r="T23" s="54"/>
      <c r="U23" s="55"/>
    </row>
    <row r="24" spans="4:21" ht="46.5" customHeight="1" x14ac:dyDescent="0.25">
      <c r="D24" s="19"/>
      <c r="E24" s="20"/>
      <c r="F24" s="12">
        <f>G23</f>
        <v>0.1875</v>
      </c>
      <c r="G24" s="12">
        <v>0.21527777777777779</v>
      </c>
      <c r="H24" s="50" t="s">
        <v>66</v>
      </c>
      <c r="I24" s="51"/>
      <c r="J24" s="51"/>
      <c r="K24" s="51"/>
      <c r="L24" s="51"/>
      <c r="M24" s="51"/>
      <c r="N24" s="51"/>
      <c r="O24" s="51"/>
      <c r="P24" s="52"/>
      <c r="Q24" s="16"/>
      <c r="R24" s="17"/>
      <c r="S24" s="17"/>
      <c r="T24" s="17"/>
      <c r="U24" s="18"/>
    </row>
    <row r="25" spans="4:21" ht="50.25" customHeight="1" x14ac:dyDescent="0.25">
      <c r="D25" s="19"/>
      <c r="E25" s="20"/>
      <c r="F25" s="12">
        <v>0.21527777777777779</v>
      </c>
      <c r="G25" s="12">
        <v>0.25</v>
      </c>
      <c r="H25" s="50" t="s">
        <v>65</v>
      </c>
      <c r="I25" s="51"/>
      <c r="J25" s="51"/>
      <c r="K25" s="51"/>
      <c r="L25" s="51"/>
      <c r="M25" s="51"/>
      <c r="N25" s="51"/>
      <c r="O25" s="51"/>
      <c r="P25" s="52"/>
      <c r="Q25" s="53"/>
      <c r="R25" s="54"/>
      <c r="S25" s="54"/>
      <c r="T25" s="54"/>
      <c r="U25" s="55"/>
    </row>
    <row r="26" spans="4:21" ht="50.25" customHeight="1" x14ac:dyDescent="0.25">
      <c r="D26" s="19"/>
      <c r="E26" s="20"/>
      <c r="F26" s="12">
        <f>G25</f>
        <v>0.25</v>
      </c>
      <c r="G26" s="12">
        <v>0.51041666666666663</v>
      </c>
      <c r="H26" s="50" t="s">
        <v>68</v>
      </c>
      <c r="I26" s="51"/>
      <c r="J26" s="51"/>
      <c r="K26" s="51"/>
      <c r="L26" s="51"/>
      <c r="M26" s="51"/>
      <c r="N26" s="51"/>
      <c r="O26" s="51"/>
      <c r="P26" s="52"/>
      <c r="Q26" s="53"/>
      <c r="R26" s="54"/>
      <c r="S26" s="54"/>
      <c r="T26" s="54"/>
      <c r="U26" s="55"/>
    </row>
    <row r="27" spans="4:21" ht="50.25" customHeight="1" x14ac:dyDescent="0.25">
      <c r="D27" s="19"/>
      <c r="E27" s="20"/>
      <c r="F27" s="12">
        <f>G26</f>
        <v>0.51041666666666663</v>
      </c>
      <c r="G27" s="12">
        <v>0.54166666666666663</v>
      </c>
      <c r="H27" s="50" t="s">
        <v>67</v>
      </c>
      <c r="I27" s="51"/>
      <c r="J27" s="51"/>
      <c r="K27" s="51"/>
      <c r="L27" s="51"/>
      <c r="M27" s="51"/>
      <c r="N27" s="51"/>
      <c r="O27" s="51"/>
      <c r="P27" s="52"/>
      <c r="Q27" s="53"/>
      <c r="R27" s="54"/>
      <c r="S27" s="54"/>
      <c r="T27" s="54"/>
      <c r="U27" s="55"/>
    </row>
    <row r="28" spans="4:21" ht="50.25" customHeight="1" x14ac:dyDescent="0.25">
      <c r="D28" s="19"/>
      <c r="E28" s="20"/>
      <c r="F28" s="12">
        <f>G27</f>
        <v>0.54166666666666663</v>
      </c>
      <c r="G28" s="12">
        <v>0.86111111111111116</v>
      </c>
      <c r="H28" s="50" t="s">
        <v>69</v>
      </c>
      <c r="I28" s="51"/>
      <c r="J28" s="51"/>
      <c r="K28" s="51"/>
      <c r="L28" s="51"/>
      <c r="M28" s="51"/>
      <c r="N28" s="51"/>
      <c r="O28" s="51"/>
      <c r="P28" s="52"/>
      <c r="Q28" s="53"/>
      <c r="R28" s="54"/>
      <c r="S28" s="54"/>
      <c r="T28" s="54"/>
      <c r="U28" s="55"/>
    </row>
    <row r="29" spans="4:21" ht="50.25" customHeight="1" x14ac:dyDescent="0.25">
      <c r="D29" s="19"/>
      <c r="E29" s="20"/>
      <c r="F29" s="12">
        <f t="shared" ref="F29:F30" si="0">G28</f>
        <v>0.86111111111111116</v>
      </c>
      <c r="G29" s="12">
        <v>0.88888888888888884</v>
      </c>
      <c r="H29" s="50" t="s">
        <v>72</v>
      </c>
      <c r="I29" s="51"/>
      <c r="J29" s="51"/>
      <c r="K29" s="51"/>
      <c r="L29" s="51"/>
      <c r="M29" s="51"/>
      <c r="N29" s="51"/>
      <c r="O29" s="51"/>
      <c r="P29" s="52"/>
      <c r="Q29" s="53"/>
      <c r="R29" s="54"/>
      <c r="S29" s="54"/>
      <c r="T29" s="54"/>
      <c r="U29" s="55"/>
    </row>
    <row r="30" spans="4:21" ht="50.25" customHeight="1" x14ac:dyDescent="0.25">
      <c r="D30" s="34"/>
      <c r="E30" s="35"/>
      <c r="F30" s="12">
        <f t="shared" si="0"/>
        <v>0.88888888888888884</v>
      </c>
      <c r="G30" s="12">
        <v>0.90277777777777779</v>
      </c>
      <c r="H30" s="50" t="s">
        <v>76</v>
      </c>
      <c r="I30" s="51"/>
      <c r="J30" s="51"/>
      <c r="K30" s="51"/>
      <c r="L30" s="51"/>
      <c r="M30" s="51"/>
      <c r="N30" s="51"/>
      <c r="O30" s="51"/>
      <c r="P30" s="52"/>
      <c r="Q30" s="53"/>
      <c r="R30" s="54"/>
      <c r="S30" s="54"/>
      <c r="T30" s="54"/>
      <c r="U30" s="55"/>
    </row>
    <row r="31" spans="4:21" ht="50.25" customHeight="1" x14ac:dyDescent="0.25">
      <c r="D31" s="30"/>
      <c r="E31" s="31"/>
      <c r="F31" s="12">
        <v>0.90277777777777779</v>
      </c>
      <c r="G31" s="12">
        <v>0.94444444444444453</v>
      </c>
      <c r="H31" s="50" t="s">
        <v>77</v>
      </c>
      <c r="I31" s="51"/>
      <c r="J31" s="51"/>
      <c r="K31" s="51"/>
      <c r="L31" s="51"/>
      <c r="M31" s="51"/>
      <c r="N31" s="51"/>
      <c r="O31" s="51"/>
      <c r="P31" s="52"/>
      <c r="Q31" s="27"/>
      <c r="R31" s="28"/>
      <c r="S31" s="28"/>
      <c r="T31" s="28"/>
      <c r="U31" s="29"/>
    </row>
    <row r="32" spans="4:21" ht="50.25" customHeight="1" x14ac:dyDescent="0.25">
      <c r="D32" s="32"/>
      <c r="E32" s="33"/>
      <c r="F32" s="12">
        <f>G31</f>
        <v>0.94444444444444453</v>
      </c>
      <c r="G32" s="12">
        <v>0</v>
      </c>
      <c r="H32" s="50" t="s">
        <v>84</v>
      </c>
      <c r="I32" s="51"/>
      <c r="J32" s="51"/>
      <c r="K32" s="51"/>
      <c r="L32" s="51"/>
      <c r="M32" s="51"/>
      <c r="N32" s="51"/>
      <c r="O32" s="51"/>
      <c r="P32" s="52"/>
      <c r="Q32" s="53"/>
      <c r="R32" s="54"/>
      <c r="S32" s="54"/>
      <c r="T32" s="54"/>
      <c r="U32" s="55"/>
    </row>
    <row r="33" spans="4:21" ht="50.25" customHeight="1" x14ac:dyDescent="0.25">
      <c r="D33" s="46">
        <v>44930</v>
      </c>
      <c r="E33" s="47"/>
      <c r="F33" s="12">
        <f t="shared" ref="F33:F34" si="1">G32</f>
        <v>0</v>
      </c>
      <c r="G33" s="12">
        <v>4.5138888888888888E-2</v>
      </c>
      <c r="H33" s="50" t="s">
        <v>74</v>
      </c>
      <c r="I33" s="51"/>
      <c r="J33" s="51"/>
      <c r="K33" s="51"/>
      <c r="L33" s="51"/>
      <c r="M33" s="51"/>
      <c r="N33" s="51"/>
      <c r="O33" s="51"/>
      <c r="P33" s="52"/>
      <c r="Q33" s="53"/>
      <c r="R33" s="54"/>
      <c r="S33" s="54"/>
      <c r="T33" s="54"/>
      <c r="U33" s="55"/>
    </row>
    <row r="34" spans="4:21" ht="50.25" customHeight="1" x14ac:dyDescent="0.25">
      <c r="D34" s="48"/>
      <c r="E34" s="49"/>
      <c r="F34" s="12">
        <f t="shared" si="1"/>
        <v>4.5138888888888888E-2</v>
      </c>
      <c r="G34" s="12">
        <v>0.10069444444444443</v>
      </c>
      <c r="H34" s="50" t="s">
        <v>73</v>
      </c>
      <c r="I34" s="51"/>
      <c r="J34" s="51"/>
      <c r="K34" s="51"/>
      <c r="L34" s="51"/>
      <c r="M34" s="51"/>
      <c r="N34" s="51"/>
      <c r="O34" s="51"/>
      <c r="P34" s="52"/>
      <c r="Q34" s="53"/>
      <c r="R34" s="54"/>
      <c r="S34" s="54"/>
      <c r="T34" s="54"/>
      <c r="U34" s="55"/>
    </row>
    <row r="35" spans="4:21" s="3" customFormat="1" ht="31.5" customHeight="1" x14ac:dyDescent="0.25">
      <c r="D35" s="48"/>
      <c r="E35" s="49"/>
      <c r="F35" s="12">
        <f t="shared" ref="F35" si="2">G34</f>
        <v>0.10069444444444443</v>
      </c>
      <c r="G35" s="12">
        <v>0.15972222222222224</v>
      </c>
      <c r="H35" s="50" t="s">
        <v>75</v>
      </c>
      <c r="I35" s="51"/>
      <c r="J35" s="51"/>
      <c r="K35" s="51"/>
      <c r="L35" s="51"/>
      <c r="M35" s="51"/>
      <c r="N35" s="51"/>
      <c r="O35" s="51"/>
      <c r="P35" s="52"/>
      <c r="Q35" s="53"/>
      <c r="R35" s="54"/>
      <c r="S35" s="54"/>
      <c r="T35" s="54"/>
      <c r="U35" s="55"/>
    </row>
    <row r="36" spans="4:21" s="3" customFormat="1" ht="26.25" customHeight="1" x14ac:dyDescent="0.25">
      <c r="D36" s="48"/>
      <c r="E36" s="49"/>
      <c r="F36" s="12">
        <f t="shared" ref="F36:F42" si="3">G35</f>
        <v>0.15972222222222224</v>
      </c>
      <c r="G36" s="12">
        <v>0.41666666666666669</v>
      </c>
      <c r="H36" s="50" t="s">
        <v>79</v>
      </c>
      <c r="I36" s="51"/>
      <c r="J36" s="51"/>
      <c r="K36" s="51"/>
      <c r="L36" s="51"/>
      <c r="M36" s="51"/>
      <c r="N36" s="51"/>
      <c r="O36" s="51"/>
      <c r="P36" s="52"/>
      <c r="Q36" s="53"/>
      <c r="R36" s="54"/>
      <c r="S36" s="54"/>
      <c r="T36" s="54"/>
      <c r="U36" s="55"/>
    </row>
    <row r="37" spans="4:21" s="3" customFormat="1" ht="33" customHeight="1" x14ac:dyDescent="0.25">
      <c r="D37" s="48"/>
      <c r="E37" s="49"/>
      <c r="F37" s="12">
        <f t="shared" si="3"/>
        <v>0.41666666666666669</v>
      </c>
      <c r="G37" s="12">
        <v>0.625</v>
      </c>
      <c r="H37" s="38" t="s">
        <v>78</v>
      </c>
      <c r="I37" s="39"/>
      <c r="J37" s="39"/>
      <c r="K37" s="39"/>
      <c r="L37" s="39"/>
      <c r="M37" s="39"/>
      <c r="N37" s="39"/>
      <c r="O37" s="39"/>
      <c r="P37" s="40"/>
      <c r="Q37" s="28"/>
      <c r="R37" s="28"/>
      <c r="S37" s="28"/>
      <c r="T37" s="28"/>
      <c r="U37" s="29"/>
    </row>
    <row r="38" spans="4:21" s="3" customFormat="1" x14ac:dyDescent="0.25">
      <c r="D38" s="48"/>
      <c r="E38" s="49"/>
      <c r="F38" s="12">
        <f t="shared" si="3"/>
        <v>0.625</v>
      </c>
      <c r="G38" s="12">
        <v>0.75694444444444453</v>
      </c>
      <c r="H38" s="38" t="s">
        <v>80</v>
      </c>
      <c r="I38" s="39"/>
      <c r="J38" s="39"/>
      <c r="K38" s="39"/>
      <c r="L38" s="39"/>
      <c r="M38" s="39"/>
      <c r="N38" s="39"/>
      <c r="O38" s="39"/>
      <c r="P38" s="40"/>
      <c r="Q38" s="36"/>
      <c r="R38" s="36"/>
      <c r="S38" s="36"/>
      <c r="T38" s="36"/>
      <c r="U38" s="37"/>
    </row>
    <row r="39" spans="4:21" s="3" customFormat="1" ht="25.5" customHeight="1" x14ac:dyDescent="0.25">
      <c r="D39" s="48"/>
      <c r="E39" s="49"/>
      <c r="F39" s="12">
        <f t="shared" si="3"/>
        <v>0.75694444444444453</v>
      </c>
      <c r="G39" s="12">
        <v>0.88888888888888884</v>
      </c>
      <c r="H39" s="38" t="s">
        <v>83</v>
      </c>
      <c r="I39" s="39"/>
      <c r="J39" s="39"/>
      <c r="K39" s="39"/>
      <c r="L39" s="39"/>
      <c r="M39" s="39"/>
      <c r="N39" s="39"/>
      <c r="O39" s="39"/>
      <c r="P39" s="40"/>
      <c r="Q39" s="26"/>
      <c r="R39" s="26"/>
      <c r="S39" s="26"/>
      <c r="T39" s="26"/>
      <c r="U39" s="26"/>
    </row>
    <row r="40" spans="4:21" s="3" customFormat="1" x14ac:dyDescent="0.25">
      <c r="D40" s="48"/>
      <c r="E40" s="49"/>
      <c r="F40" s="12">
        <f t="shared" si="3"/>
        <v>0.88888888888888884</v>
      </c>
      <c r="G40" s="12">
        <v>0.91666666666666663</v>
      </c>
      <c r="H40" s="38" t="s">
        <v>72</v>
      </c>
      <c r="I40" s="39"/>
      <c r="J40" s="39"/>
      <c r="K40" s="39"/>
      <c r="L40" s="39"/>
      <c r="M40" s="39"/>
      <c r="N40" s="39"/>
      <c r="O40" s="39"/>
      <c r="P40" s="40"/>
      <c r="Q40" s="26"/>
      <c r="R40" s="26"/>
      <c r="S40" s="26"/>
      <c r="T40" s="26"/>
      <c r="U40" s="26"/>
    </row>
    <row r="41" spans="4:21" s="3" customFormat="1" ht="20.25" customHeight="1" x14ac:dyDescent="0.25">
      <c r="D41" s="48"/>
      <c r="E41" s="49"/>
      <c r="F41" s="12">
        <f t="shared" si="3"/>
        <v>0.91666666666666663</v>
      </c>
      <c r="G41" s="12">
        <v>0.97222222222222221</v>
      </c>
      <c r="H41" s="38" t="s">
        <v>81</v>
      </c>
      <c r="I41" s="39"/>
      <c r="J41" s="39"/>
      <c r="K41" s="39"/>
      <c r="L41" s="39"/>
      <c r="M41" s="39"/>
      <c r="N41" s="39"/>
      <c r="O41" s="39"/>
      <c r="P41" s="40"/>
      <c r="Q41" s="26"/>
      <c r="R41" s="26"/>
      <c r="S41" s="26"/>
      <c r="T41" s="26"/>
      <c r="U41" s="26"/>
    </row>
    <row r="42" spans="4:21" s="3" customFormat="1" ht="20.25" customHeight="1" x14ac:dyDescent="0.25">
      <c r="D42" s="48"/>
      <c r="E42" s="49"/>
      <c r="F42" s="12">
        <f t="shared" si="3"/>
        <v>0.97222222222222221</v>
      </c>
      <c r="G42" s="12">
        <v>1</v>
      </c>
      <c r="H42" s="38" t="s">
        <v>82</v>
      </c>
      <c r="I42" s="39"/>
      <c r="J42" s="39"/>
      <c r="K42" s="39"/>
      <c r="L42" s="39"/>
      <c r="M42" s="39"/>
      <c r="N42" s="39"/>
      <c r="O42" s="39"/>
      <c r="P42" s="40"/>
      <c r="Q42" s="26"/>
      <c r="R42" s="26"/>
      <c r="S42" s="26"/>
      <c r="T42" s="26"/>
      <c r="U42" s="26"/>
    </row>
    <row r="43" spans="4:21" s="3" customFormat="1" ht="20.25" customHeight="1" x14ac:dyDescent="0.25">
      <c r="D43" s="41">
        <v>44931</v>
      </c>
      <c r="E43" s="42"/>
      <c r="F43" s="12">
        <v>0</v>
      </c>
      <c r="G43" s="12">
        <v>1.3888888888888888E-2</v>
      </c>
      <c r="H43" s="38" t="s">
        <v>82</v>
      </c>
      <c r="I43" s="39"/>
      <c r="J43" s="39"/>
      <c r="K43" s="39"/>
      <c r="L43" s="39"/>
      <c r="M43" s="39"/>
      <c r="N43" s="39"/>
      <c r="O43" s="39"/>
      <c r="P43" s="40"/>
      <c r="Q43" s="26"/>
      <c r="R43" s="26"/>
      <c r="S43" s="26"/>
      <c r="T43" s="26"/>
      <c r="U43" s="26"/>
    </row>
    <row r="44" spans="4:21" s="3" customFormat="1" ht="20.25" customHeight="1" x14ac:dyDescent="0.25">
      <c r="D44" s="41"/>
      <c r="E44" s="42"/>
      <c r="F44" s="12">
        <f t="shared" ref="F44:F53" si="4">G43</f>
        <v>1.3888888888888888E-2</v>
      </c>
      <c r="G44" s="12">
        <v>6.25E-2</v>
      </c>
      <c r="H44" s="38" t="s">
        <v>87</v>
      </c>
      <c r="I44" s="39"/>
      <c r="J44" s="39"/>
      <c r="K44" s="39"/>
      <c r="L44" s="39"/>
      <c r="M44" s="39"/>
      <c r="N44" s="39"/>
      <c r="O44" s="39"/>
      <c r="P44" s="40"/>
      <c r="Q44" s="26"/>
      <c r="R44" s="26"/>
      <c r="S44" s="26"/>
      <c r="T44" s="26"/>
      <c r="U44" s="26"/>
    </row>
    <row r="45" spans="4:21" s="3" customFormat="1" ht="20.25" customHeight="1" x14ac:dyDescent="0.25">
      <c r="D45" s="41"/>
      <c r="E45" s="42"/>
      <c r="F45" s="12">
        <f t="shared" si="4"/>
        <v>6.25E-2</v>
      </c>
      <c r="G45" s="12">
        <v>0.10069444444444443</v>
      </c>
      <c r="H45" s="38" t="s">
        <v>85</v>
      </c>
      <c r="I45" s="39"/>
      <c r="J45" s="39"/>
      <c r="K45" s="39"/>
      <c r="L45" s="39"/>
      <c r="M45" s="39"/>
      <c r="N45" s="39"/>
      <c r="O45" s="39"/>
      <c r="P45" s="40"/>
      <c r="Q45" s="26"/>
      <c r="R45" s="26"/>
      <c r="S45" s="26"/>
      <c r="T45" s="26"/>
      <c r="U45" s="26"/>
    </row>
    <row r="46" spans="4:21" s="3" customFormat="1" ht="25.5" customHeight="1" x14ac:dyDescent="0.25">
      <c r="D46" s="41"/>
      <c r="E46" s="42"/>
      <c r="F46" s="12">
        <f t="shared" si="4"/>
        <v>0.10069444444444443</v>
      </c>
      <c r="G46" s="12">
        <v>0.14583333333333334</v>
      </c>
      <c r="H46" s="38" t="s">
        <v>89</v>
      </c>
      <c r="I46" s="39"/>
      <c r="J46" s="39"/>
      <c r="K46" s="39"/>
      <c r="L46" s="39"/>
      <c r="M46" s="39"/>
      <c r="N46" s="39"/>
      <c r="O46" s="39"/>
      <c r="P46" s="40"/>
      <c r="Q46" s="26"/>
      <c r="R46" s="26"/>
      <c r="S46" s="26"/>
      <c r="T46" s="26"/>
      <c r="U46" s="26"/>
    </row>
    <row r="47" spans="4:21" s="3" customFormat="1" ht="25.5" customHeight="1" x14ac:dyDescent="0.25">
      <c r="D47" s="41"/>
      <c r="E47" s="42"/>
      <c r="F47" s="12">
        <f t="shared" si="4"/>
        <v>0.14583333333333334</v>
      </c>
      <c r="G47" s="12">
        <v>0.19791666666666666</v>
      </c>
      <c r="H47" s="38" t="s">
        <v>86</v>
      </c>
      <c r="I47" s="39"/>
      <c r="J47" s="39"/>
      <c r="K47" s="39"/>
      <c r="L47" s="39"/>
      <c r="M47" s="39"/>
      <c r="N47" s="39"/>
      <c r="O47" s="39"/>
      <c r="P47" s="40"/>
      <c r="Q47" s="26"/>
      <c r="R47" s="26"/>
      <c r="S47" s="26"/>
      <c r="T47" s="26"/>
      <c r="U47" s="26"/>
    </row>
    <row r="48" spans="4:21" s="3" customFormat="1" ht="31.5" customHeight="1" x14ac:dyDescent="0.25">
      <c r="D48" s="41"/>
      <c r="E48" s="42"/>
      <c r="F48" s="12">
        <f t="shared" si="4"/>
        <v>0.19791666666666666</v>
      </c>
      <c r="G48" s="12">
        <v>0.25</v>
      </c>
      <c r="H48" s="38" t="s">
        <v>88</v>
      </c>
      <c r="I48" s="39"/>
      <c r="J48" s="39"/>
      <c r="K48" s="39"/>
      <c r="L48" s="39"/>
      <c r="M48" s="39"/>
      <c r="N48" s="39"/>
      <c r="O48" s="39"/>
      <c r="P48" s="40"/>
      <c r="Q48" s="26"/>
      <c r="R48" s="26"/>
      <c r="S48" s="26"/>
      <c r="T48" s="26"/>
      <c r="U48" s="26"/>
    </row>
    <row r="49" spans="4:21" s="3" customFormat="1" ht="27" customHeight="1" x14ac:dyDescent="0.25">
      <c r="D49" s="41"/>
      <c r="E49" s="42"/>
      <c r="F49" s="12">
        <f t="shared" si="4"/>
        <v>0.25</v>
      </c>
      <c r="G49" s="12">
        <v>0.28472222222222221</v>
      </c>
      <c r="H49" s="38" t="s">
        <v>90</v>
      </c>
      <c r="I49" s="39"/>
      <c r="J49" s="39"/>
      <c r="K49" s="39"/>
      <c r="L49" s="39"/>
      <c r="M49" s="39"/>
      <c r="N49" s="39"/>
      <c r="O49" s="39"/>
      <c r="P49" s="40"/>
      <c r="Q49" s="26"/>
      <c r="R49" s="26"/>
      <c r="S49" s="26"/>
      <c r="T49" s="26"/>
      <c r="U49" s="26"/>
    </row>
    <row r="50" spans="4:21" s="3" customFormat="1" ht="27" customHeight="1" x14ac:dyDescent="0.25">
      <c r="D50" s="41"/>
      <c r="E50" s="42"/>
      <c r="F50" s="12">
        <f t="shared" si="4"/>
        <v>0.28472222222222221</v>
      </c>
      <c r="G50" s="12">
        <v>0.33680555555555558</v>
      </c>
      <c r="H50" s="38" t="s">
        <v>91</v>
      </c>
      <c r="I50" s="39"/>
      <c r="J50" s="39"/>
      <c r="K50" s="39"/>
      <c r="L50" s="39"/>
      <c r="M50" s="39"/>
      <c r="N50" s="39"/>
      <c r="O50" s="39"/>
      <c r="P50" s="40"/>
      <c r="Q50" s="26"/>
      <c r="R50" s="26"/>
      <c r="S50" s="26"/>
      <c r="T50" s="26"/>
      <c r="U50" s="26"/>
    </row>
    <row r="51" spans="4:21" s="3" customFormat="1" ht="27" customHeight="1" x14ac:dyDescent="0.25">
      <c r="D51" s="41"/>
      <c r="E51" s="42"/>
      <c r="F51" s="12">
        <f t="shared" si="4"/>
        <v>0.33680555555555558</v>
      </c>
      <c r="G51" s="12">
        <v>0.37847222222222227</v>
      </c>
      <c r="H51" s="38" t="s">
        <v>92</v>
      </c>
      <c r="I51" s="39"/>
      <c r="J51" s="39"/>
      <c r="K51" s="39"/>
      <c r="L51" s="39"/>
      <c r="M51" s="39"/>
      <c r="N51" s="39"/>
      <c r="O51" s="39"/>
      <c r="P51" s="40"/>
      <c r="Q51" s="26"/>
      <c r="R51" s="26"/>
      <c r="S51" s="26"/>
      <c r="T51" s="26"/>
      <c r="U51" s="26"/>
    </row>
    <row r="52" spans="4:21" s="3" customFormat="1" ht="40.5" customHeight="1" x14ac:dyDescent="0.25">
      <c r="D52" s="41"/>
      <c r="E52" s="42"/>
      <c r="F52" s="12">
        <f t="shared" si="4"/>
        <v>0.37847222222222227</v>
      </c>
      <c r="G52" s="12">
        <v>0.51388888888888895</v>
      </c>
      <c r="H52" s="38" t="s">
        <v>93</v>
      </c>
      <c r="I52" s="39"/>
      <c r="J52" s="39"/>
      <c r="K52" s="39"/>
      <c r="L52" s="39"/>
      <c r="M52" s="39"/>
      <c r="N52" s="39"/>
      <c r="O52" s="39"/>
      <c r="P52" s="40"/>
      <c r="Q52" s="26"/>
      <c r="R52" s="26"/>
      <c r="S52" s="26"/>
      <c r="T52" s="26"/>
      <c r="U52" s="26"/>
    </row>
    <row r="53" spans="4:21" s="3" customFormat="1" ht="27" customHeight="1" x14ac:dyDescent="0.25">
      <c r="D53" s="41"/>
      <c r="E53" s="42"/>
      <c r="F53" s="12">
        <f t="shared" si="4"/>
        <v>0.51388888888888895</v>
      </c>
      <c r="G53" s="12">
        <v>0.59375</v>
      </c>
      <c r="H53" s="38" t="s">
        <v>95</v>
      </c>
      <c r="I53" s="39"/>
      <c r="J53" s="39"/>
      <c r="K53" s="39"/>
      <c r="L53" s="39"/>
      <c r="M53" s="39"/>
      <c r="N53" s="39"/>
      <c r="O53" s="39"/>
      <c r="P53" s="40"/>
      <c r="Q53" s="26"/>
      <c r="R53" s="26"/>
      <c r="S53" s="26"/>
      <c r="T53" s="26"/>
      <c r="U53" s="26"/>
    </row>
    <row r="54" spans="4:21" s="3" customFormat="1" ht="27" customHeight="1" x14ac:dyDescent="0.25">
      <c r="D54" s="41"/>
      <c r="E54" s="42"/>
      <c r="F54" s="12">
        <f t="shared" ref="F54:F57" si="5">G53</f>
        <v>0.59375</v>
      </c>
      <c r="G54" s="12">
        <v>0.625</v>
      </c>
      <c r="H54" s="38" t="s">
        <v>94</v>
      </c>
      <c r="I54" s="39"/>
      <c r="J54" s="39"/>
      <c r="K54" s="39"/>
      <c r="L54" s="39"/>
      <c r="M54" s="39"/>
      <c r="N54" s="39"/>
      <c r="O54" s="39"/>
      <c r="P54" s="40"/>
      <c r="Q54" s="26"/>
      <c r="R54" s="26"/>
      <c r="S54" s="26"/>
      <c r="T54" s="26"/>
      <c r="U54" s="26"/>
    </row>
    <row r="55" spans="4:21" s="3" customFormat="1" ht="27" customHeight="1" x14ac:dyDescent="0.25">
      <c r="D55" s="41"/>
      <c r="E55" s="42"/>
      <c r="F55" s="12">
        <f t="shared" si="5"/>
        <v>0.625</v>
      </c>
      <c r="G55" s="12">
        <v>0.97916666666666663</v>
      </c>
      <c r="H55" s="38" t="s">
        <v>96</v>
      </c>
      <c r="I55" s="39"/>
      <c r="J55" s="39"/>
      <c r="K55" s="39"/>
      <c r="L55" s="39"/>
      <c r="M55" s="39"/>
      <c r="N55" s="39"/>
      <c r="O55" s="39"/>
      <c r="P55" s="40"/>
      <c r="Q55" s="26"/>
      <c r="R55" s="26"/>
      <c r="S55" s="26"/>
      <c r="T55" s="26"/>
      <c r="U55" s="26"/>
    </row>
    <row r="56" spans="4:21" s="3" customFormat="1" ht="27" customHeight="1" x14ac:dyDescent="0.25">
      <c r="D56" s="41">
        <v>44932</v>
      </c>
      <c r="E56" s="42"/>
      <c r="F56" s="12">
        <f t="shared" si="5"/>
        <v>0.97916666666666663</v>
      </c>
      <c r="G56" s="12">
        <v>1</v>
      </c>
      <c r="H56" s="38" t="s">
        <v>97</v>
      </c>
      <c r="I56" s="39"/>
      <c r="J56" s="39"/>
      <c r="K56" s="39"/>
      <c r="L56" s="39"/>
      <c r="M56" s="39"/>
      <c r="N56" s="39"/>
      <c r="O56" s="39"/>
      <c r="P56" s="40"/>
      <c r="Q56" s="26"/>
      <c r="R56" s="26"/>
      <c r="S56" s="26"/>
      <c r="T56" s="26"/>
      <c r="U56" s="26"/>
    </row>
    <row r="57" spans="4:21" s="3" customFormat="1" ht="27" customHeight="1" x14ac:dyDescent="0.25">
      <c r="D57" s="41"/>
      <c r="E57" s="42"/>
      <c r="F57" s="12">
        <f t="shared" si="5"/>
        <v>1</v>
      </c>
      <c r="G57" s="12">
        <v>0.6875</v>
      </c>
      <c r="H57" s="38" t="s">
        <v>99</v>
      </c>
      <c r="I57" s="39"/>
      <c r="J57" s="39"/>
      <c r="K57" s="39"/>
      <c r="L57" s="39"/>
      <c r="M57" s="39"/>
      <c r="N57" s="39"/>
      <c r="O57" s="39"/>
      <c r="P57" s="40"/>
      <c r="Q57" s="26"/>
      <c r="R57" s="26"/>
      <c r="S57" s="26"/>
      <c r="T57" s="26"/>
      <c r="U57" s="26"/>
    </row>
    <row r="58" spans="4:21" s="3" customFormat="1" ht="27" customHeight="1" x14ac:dyDescent="0.25">
      <c r="D58" s="41"/>
      <c r="E58" s="42"/>
      <c r="F58" s="12">
        <f t="shared" ref="F58" si="6">G57</f>
        <v>0.6875</v>
      </c>
      <c r="G58" s="12">
        <v>0.71875</v>
      </c>
      <c r="H58" s="38" t="s">
        <v>98</v>
      </c>
      <c r="I58" s="39"/>
      <c r="J58" s="39"/>
      <c r="K58" s="39"/>
      <c r="L58" s="39"/>
      <c r="M58" s="39"/>
      <c r="N58" s="39"/>
      <c r="O58" s="39"/>
      <c r="P58" s="40"/>
      <c r="Q58" s="26"/>
      <c r="R58" s="26"/>
      <c r="S58" s="26"/>
      <c r="T58" s="26"/>
      <c r="U58" s="26"/>
    </row>
    <row r="59" spans="4:21" s="3" customFormat="1" ht="27" customHeight="1" x14ac:dyDescent="0.25">
      <c r="D59" s="41"/>
      <c r="E59" s="42"/>
      <c r="F59" s="12">
        <f t="shared" ref="F59" si="7">G58</f>
        <v>0.71875</v>
      </c>
      <c r="G59" s="12">
        <v>0.8125</v>
      </c>
      <c r="H59" s="38" t="s">
        <v>100</v>
      </c>
      <c r="I59" s="39"/>
      <c r="J59" s="39"/>
      <c r="K59" s="39"/>
      <c r="L59" s="39"/>
      <c r="M59" s="39"/>
      <c r="N59" s="39"/>
      <c r="O59" s="39"/>
      <c r="P59" s="40"/>
      <c r="Q59" s="26"/>
      <c r="R59" s="26"/>
      <c r="S59" s="26"/>
      <c r="T59" s="26"/>
      <c r="U59" s="26"/>
    </row>
    <row r="60" spans="4:21" s="3" customFormat="1" ht="27" customHeight="1" x14ac:dyDescent="0.25">
      <c r="D60" s="41"/>
      <c r="E60" s="42"/>
      <c r="F60" s="12">
        <f t="shared" ref="F60" si="8">G59</f>
        <v>0.8125</v>
      </c>
      <c r="G60" s="12">
        <v>0.94444444444444453</v>
      </c>
      <c r="H60" s="38" t="s">
        <v>101</v>
      </c>
      <c r="I60" s="39"/>
      <c r="J60" s="39"/>
      <c r="K60" s="39"/>
      <c r="L60" s="39"/>
      <c r="M60" s="39"/>
      <c r="N60" s="39"/>
      <c r="O60" s="39"/>
      <c r="P60" s="40"/>
      <c r="Q60" s="26"/>
      <c r="R60" s="26"/>
      <c r="S60" s="26"/>
      <c r="T60" s="26"/>
      <c r="U60" s="26"/>
    </row>
    <row r="61" spans="4:21" s="3" customFormat="1" ht="27" customHeight="1" x14ac:dyDescent="0.25">
      <c r="D61" s="41"/>
      <c r="E61" s="42"/>
      <c r="F61" s="12">
        <f t="shared" ref="F61" si="9">G60</f>
        <v>0.94444444444444453</v>
      </c>
      <c r="G61" s="12">
        <v>1</v>
      </c>
      <c r="H61" s="38" t="s">
        <v>104</v>
      </c>
      <c r="I61" s="39"/>
      <c r="J61" s="39"/>
      <c r="K61" s="39"/>
      <c r="L61" s="39"/>
      <c r="M61" s="39"/>
      <c r="N61" s="39"/>
      <c r="O61" s="39"/>
      <c r="P61" s="40"/>
      <c r="Q61" s="26"/>
      <c r="R61" s="26"/>
      <c r="S61" s="26"/>
      <c r="T61" s="26"/>
      <c r="U61" s="26"/>
    </row>
    <row r="62" spans="4:21" s="3" customFormat="1" ht="27" customHeight="1" x14ac:dyDescent="0.25">
      <c r="D62" s="41">
        <v>44933</v>
      </c>
      <c r="E62" s="42"/>
      <c r="F62" s="12">
        <f t="shared" ref="F62" si="10">G61</f>
        <v>1</v>
      </c>
      <c r="G62" s="12">
        <v>0.1875</v>
      </c>
      <c r="H62" s="38" t="s">
        <v>103</v>
      </c>
      <c r="I62" s="39"/>
      <c r="J62" s="39"/>
      <c r="K62" s="39"/>
      <c r="L62" s="39"/>
      <c r="M62" s="39"/>
      <c r="N62" s="39"/>
      <c r="O62" s="39"/>
      <c r="P62" s="40"/>
      <c r="Q62" s="26"/>
      <c r="R62" s="26"/>
      <c r="S62" s="26"/>
      <c r="T62" s="26"/>
      <c r="U62" s="26"/>
    </row>
    <row r="63" spans="4:21" s="3" customFormat="1" ht="27" customHeight="1" x14ac:dyDescent="0.25">
      <c r="D63" s="41"/>
      <c r="E63" s="42"/>
      <c r="F63" s="12">
        <f t="shared" ref="F63" si="11">G62</f>
        <v>0.1875</v>
      </c>
      <c r="G63" s="12">
        <v>0.27083333333333331</v>
      </c>
      <c r="H63" s="38" t="s">
        <v>102</v>
      </c>
      <c r="I63" s="39"/>
      <c r="J63" s="39"/>
      <c r="K63" s="39"/>
      <c r="L63" s="39"/>
      <c r="M63" s="39"/>
      <c r="N63" s="39"/>
      <c r="O63" s="39"/>
      <c r="P63" s="40"/>
      <c r="Q63" s="26"/>
      <c r="R63" s="26"/>
      <c r="S63" s="26"/>
      <c r="T63" s="26"/>
      <c r="U63" s="26"/>
    </row>
    <row r="64" spans="4:21" s="3" customFormat="1" ht="27" customHeight="1" x14ac:dyDescent="0.25">
      <c r="D64" s="41"/>
      <c r="E64" s="42"/>
      <c r="F64" s="12">
        <f t="shared" ref="F64" si="12">G63</f>
        <v>0.27083333333333331</v>
      </c>
      <c r="G64" s="12">
        <v>0.3125</v>
      </c>
      <c r="H64" s="38" t="s">
        <v>105</v>
      </c>
      <c r="I64" s="39"/>
      <c r="J64" s="39"/>
      <c r="K64" s="39"/>
      <c r="L64" s="39"/>
      <c r="M64" s="39"/>
      <c r="N64" s="39"/>
      <c r="O64" s="39"/>
      <c r="P64" s="40"/>
      <c r="Q64" s="26"/>
      <c r="R64" s="26"/>
      <c r="S64" s="26"/>
      <c r="T64" s="26"/>
      <c r="U64" s="26"/>
    </row>
    <row r="65" spans="4:21" s="3" customFormat="1" ht="27" customHeight="1" x14ac:dyDescent="0.25">
      <c r="D65" s="41"/>
      <c r="E65" s="42"/>
      <c r="F65" s="12">
        <f t="shared" ref="F65" si="13">G64</f>
        <v>0.3125</v>
      </c>
      <c r="G65" s="12">
        <v>0.35416666666666702</v>
      </c>
      <c r="H65" s="38" t="s">
        <v>106</v>
      </c>
      <c r="I65" s="39"/>
      <c r="J65" s="39"/>
      <c r="K65" s="39"/>
      <c r="L65" s="39"/>
      <c r="M65" s="39"/>
      <c r="N65" s="39"/>
      <c r="O65" s="39"/>
      <c r="P65" s="40"/>
      <c r="Q65" s="26"/>
      <c r="R65" s="26"/>
      <c r="S65" s="26"/>
      <c r="T65" s="26"/>
      <c r="U65" s="26"/>
    </row>
    <row r="66" spans="4:21" s="3" customFormat="1" ht="27" customHeight="1" x14ac:dyDescent="0.25">
      <c r="D66" s="41"/>
      <c r="E66" s="42"/>
      <c r="F66" s="12">
        <f t="shared" ref="F66:F71" si="14">G65</f>
        <v>0.35416666666666702</v>
      </c>
      <c r="G66" s="12">
        <v>0.38541666666666669</v>
      </c>
      <c r="H66" s="38" t="s">
        <v>107</v>
      </c>
      <c r="I66" s="39"/>
      <c r="J66" s="39"/>
      <c r="K66" s="39"/>
      <c r="L66" s="39"/>
      <c r="M66" s="39"/>
      <c r="N66" s="39"/>
      <c r="O66" s="39"/>
      <c r="P66" s="40"/>
      <c r="Q66" s="26"/>
      <c r="R66" s="26"/>
      <c r="S66" s="26"/>
      <c r="T66" s="26"/>
      <c r="U66" s="26"/>
    </row>
    <row r="67" spans="4:21" s="3" customFormat="1" ht="27" customHeight="1" x14ac:dyDescent="0.25">
      <c r="D67" s="41"/>
      <c r="E67" s="42"/>
      <c r="F67" s="12">
        <f t="shared" si="14"/>
        <v>0.38541666666666669</v>
      </c>
      <c r="G67" s="12">
        <v>0.43055555555555558</v>
      </c>
      <c r="H67" s="38" t="s">
        <v>108</v>
      </c>
      <c r="I67" s="39"/>
      <c r="J67" s="39"/>
      <c r="K67" s="39"/>
      <c r="L67" s="39"/>
      <c r="M67" s="39"/>
      <c r="N67" s="39"/>
      <c r="O67" s="39"/>
      <c r="P67" s="40"/>
      <c r="Q67" s="26"/>
      <c r="R67" s="26"/>
      <c r="S67" s="26"/>
      <c r="T67" s="26"/>
      <c r="U67" s="26"/>
    </row>
    <row r="68" spans="4:21" s="3" customFormat="1" ht="27" customHeight="1" x14ac:dyDescent="0.25">
      <c r="D68" s="41"/>
      <c r="E68" s="42"/>
      <c r="F68" s="12">
        <f t="shared" si="14"/>
        <v>0.43055555555555558</v>
      </c>
      <c r="G68" s="12">
        <v>0.47222222222222227</v>
      </c>
      <c r="H68" s="38" t="s">
        <v>109</v>
      </c>
      <c r="I68" s="39"/>
      <c r="J68" s="39"/>
      <c r="K68" s="39"/>
      <c r="L68" s="39"/>
      <c r="M68" s="39"/>
      <c r="N68" s="39"/>
      <c r="O68" s="39"/>
      <c r="P68" s="40"/>
      <c r="Q68" s="26"/>
      <c r="R68" s="26"/>
      <c r="S68" s="26"/>
      <c r="T68" s="26"/>
      <c r="U68" s="26"/>
    </row>
    <row r="69" spans="4:21" s="3" customFormat="1" ht="27" customHeight="1" x14ac:dyDescent="0.25">
      <c r="D69" s="41"/>
      <c r="E69" s="42"/>
      <c r="F69" s="12">
        <f t="shared" si="14"/>
        <v>0.47222222222222227</v>
      </c>
      <c r="G69" s="12">
        <v>0.51388888888888895</v>
      </c>
      <c r="H69" s="38" t="s">
        <v>110</v>
      </c>
      <c r="I69" s="39"/>
      <c r="J69" s="39"/>
      <c r="K69" s="39"/>
      <c r="L69" s="39"/>
      <c r="M69" s="39"/>
      <c r="N69" s="39"/>
      <c r="O69" s="39"/>
      <c r="P69" s="40"/>
      <c r="Q69" s="26"/>
      <c r="R69" s="26"/>
      <c r="S69" s="26"/>
      <c r="T69" s="26"/>
      <c r="U69" s="26"/>
    </row>
    <row r="70" spans="4:21" s="3" customFormat="1" ht="27" customHeight="1" x14ac:dyDescent="0.25">
      <c r="D70" s="41"/>
      <c r="E70" s="42"/>
      <c r="F70" s="12">
        <f t="shared" si="14"/>
        <v>0.51388888888888895</v>
      </c>
      <c r="G70" s="12">
        <v>0.55555555555555558</v>
      </c>
      <c r="H70" s="38" t="s">
        <v>111</v>
      </c>
      <c r="I70" s="39"/>
      <c r="J70" s="39"/>
      <c r="K70" s="39"/>
      <c r="L70" s="39"/>
      <c r="M70" s="39"/>
      <c r="N70" s="39"/>
      <c r="O70" s="39"/>
      <c r="P70" s="40"/>
      <c r="Q70" s="26"/>
      <c r="R70" s="26"/>
      <c r="S70" s="26"/>
      <c r="T70" s="26"/>
      <c r="U70" s="26"/>
    </row>
    <row r="71" spans="4:21" s="3" customFormat="1" ht="27" customHeight="1" x14ac:dyDescent="0.25">
      <c r="D71" s="41"/>
      <c r="E71" s="42"/>
      <c r="F71" s="12">
        <f t="shared" si="14"/>
        <v>0.55555555555555558</v>
      </c>
      <c r="G71" s="12">
        <v>0.59722222222222221</v>
      </c>
      <c r="H71" s="38" t="s">
        <v>112</v>
      </c>
      <c r="I71" s="39"/>
      <c r="J71" s="39"/>
      <c r="K71" s="39"/>
      <c r="L71" s="39"/>
      <c r="M71" s="39"/>
      <c r="N71" s="39"/>
      <c r="O71" s="39"/>
      <c r="P71" s="40"/>
      <c r="Q71" s="26"/>
      <c r="R71" s="26"/>
      <c r="S71" s="26"/>
      <c r="T71" s="26"/>
      <c r="U71" s="26"/>
    </row>
    <row r="72" spans="4:21" s="3" customFormat="1" ht="27" customHeight="1" x14ac:dyDescent="0.25">
      <c r="D72" s="41"/>
      <c r="E72" s="42"/>
      <c r="F72" s="12">
        <f t="shared" ref="F72:F83" si="15">G71</f>
        <v>0.59722222222222221</v>
      </c>
      <c r="G72" s="12">
        <v>0.72916666666666663</v>
      </c>
      <c r="H72" s="38" t="s">
        <v>113</v>
      </c>
      <c r="I72" s="39"/>
      <c r="J72" s="39"/>
      <c r="K72" s="39"/>
      <c r="L72" s="39"/>
      <c r="M72" s="39"/>
      <c r="N72" s="39"/>
      <c r="O72" s="39"/>
      <c r="P72" s="40"/>
      <c r="Q72" s="26"/>
      <c r="R72" s="26"/>
      <c r="S72" s="26"/>
      <c r="T72" s="26"/>
      <c r="U72" s="26"/>
    </row>
    <row r="73" spans="4:21" s="3" customFormat="1" ht="27" customHeight="1" x14ac:dyDescent="0.25">
      <c r="D73" s="41"/>
      <c r="E73" s="42"/>
      <c r="F73" s="12">
        <f t="shared" si="15"/>
        <v>0.72916666666666663</v>
      </c>
      <c r="G73" s="12">
        <v>0.85416666666666663</v>
      </c>
      <c r="H73" s="38" t="s">
        <v>114</v>
      </c>
      <c r="I73" s="39"/>
      <c r="J73" s="39"/>
      <c r="K73" s="39"/>
      <c r="L73" s="39"/>
      <c r="M73" s="39"/>
      <c r="N73" s="39"/>
      <c r="O73" s="39"/>
      <c r="P73" s="40"/>
      <c r="Q73" s="26"/>
      <c r="R73" s="26"/>
      <c r="S73" s="26"/>
      <c r="T73" s="26"/>
      <c r="U73" s="26"/>
    </row>
    <row r="74" spans="4:21" s="3" customFormat="1" ht="27" customHeight="1" x14ac:dyDescent="0.25">
      <c r="D74" s="41"/>
      <c r="E74" s="42"/>
      <c r="F74" s="12">
        <f t="shared" si="15"/>
        <v>0.85416666666666663</v>
      </c>
      <c r="G74" s="12">
        <v>1</v>
      </c>
      <c r="H74" s="38" t="s">
        <v>115</v>
      </c>
      <c r="I74" s="39"/>
      <c r="J74" s="39"/>
      <c r="K74" s="39"/>
      <c r="L74" s="39"/>
      <c r="M74" s="39"/>
      <c r="N74" s="39"/>
      <c r="O74" s="39"/>
      <c r="P74" s="40"/>
      <c r="Q74" s="26"/>
      <c r="R74" s="26"/>
      <c r="S74" s="26"/>
      <c r="T74" s="26"/>
      <c r="U74" s="26"/>
    </row>
    <row r="75" spans="4:21" s="3" customFormat="1" ht="27" customHeight="1" x14ac:dyDescent="0.25">
      <c r="D75" s="41">
        <v>44934</v>
      </c>
      <c r="E75" s="42"/>
      <c r="F75" s="12">
        <f t="shared" si="15"/>
        <v>1</v>
      </c>
      <c r="G75" s="12">
        <v>0.45833333333333331</v>
      </c>
      <c r="H75" s="38" t="s">
        <v>116</v>
      </c>
      <c r="I75" s="39"/>
      <c r="J75" s="39"/>
      <c r="K75" s="39"/>
      <c r="L75" s="39"/>
      <c r="M75" s="39"/>
      <c r="N75" s="39"/>
      <c r="O75" s="39"/>
      <c r="P75" s="40"/>
      <c r="Q75" s="26"/>
      <c r="R75" s="26"/>
      <c r="S75" s="26"/>
      <c r="T75" s="26"/>
      <c r="U75" s="26"/>
    </row>
    <row r="76" spans="4:21" s="3" customFormat="1" ht="27" customHeight="1" x14ac:dyDescent="0.25">
      <c r="D76" s="41"/>
      <c r="E76" s="42"/>
      <c r="F76" s="12">
        <f t="shared" si="15"/>
        <v>0.45833333333333331</v>
      </c>
      <c r="G76" s="12">
        <v>0.72916666666666663</v>
      </c>
      <c r="H76" s="38" t="s">
        <v>117</v>
      </c>
      <c r="I76" s="39"/>
      <c r="J76" s="39"/>
      <c r="K76" s="39"/>
      <c r="L76" s="39"/>
      <c r="M76" s="39"/>
      <c r="N76" s="39"/>
      <c r="O76" s="39"/>
      <c r="P76" s="40"/>
      <c r="Q76" s="26"/>
      <c r="R76" s="26"/>
      <c r="S76" s="26"/>
      <c r="T76" s="26"/>
      <c r="U76" s="26"/>
    </row>
    <row r="77" spans="4:21" s="3" customFormat="1" ht="27" customHeight="1" x14ac:dyDescent="0.25">
      <c r="D77" s="41"/>
      <c r="E77" s="42"/>
      <c r="F77" s="12">
        <f t="shared" si="15"/>
        <v>0.72916666666666663</v>
      </c>
      <c r="G77" s="12">
        <v>0.76041666666666663</v>
      </c>
      <c r="H77" s="38" t="s">
        <v>118</v>
      </c>
      <c r="I77" s="39"/>
      <c r="J77" s="39"/>
      <c r="K77" s="39"/>
      <c r="L77" s="39"/>
      <c r="M77" s="39"/>
      <c r="N77" s="39"/>
      <c r="O77" s="39"/>
      <c r="P77" s="40"/>
      <c r="Q77" s="26"/>
      <c r="R77" s="26"/>
      <c r="S77" s="26"/>
      <c r="T77" s="26"/>
      <c r="U77" s="26"/>
    </row>
    <row r="78" spans="4:21" s="3" customFormat="1" ht="27" customHeight="1" x14ac:dyDescent="0.25">
      <c r="D78" s="41"/>
      <c r="E78" s="42"/>
      <c r="F78" s="12">
        <f t="shared" si="15"/>
        <v>0.76041666666666663</v>
      </c>
      <c r="G78" s="12">
        <v>0.85416666666666663</v>
      </c>
      <c r="H78" s="38" t="s">
        <v>119</v>
      </c>
      <c r="I78" s="39"/>
      <c r="J78" s="39"/>
      <c r="K78" s="39"/>
      <c r="L78" s="39"/>
      <c r="M78" s="39"/>
      <c r="N78" s="39"/>
      <c r="O78" s="39"/>
      <c r="P78" s="40"/>
      <c r="Q78" s="26"/>
      <c r="R78" s="26"/>
      <c r="S78" s="26"/>
      <c r="T78" s="26"/>
      <c r="U78" s="26"/>
    </row>
    <row r="79" spans="4:21" s="3" customFormat="1" ht="27" customHeight="1" x14ac:dyDescent="0.25">
      <c r="D79" s="41"/>
      <c r="E79" s="42"/>
      <c r="F79" s="12">
        <f t="shared" si="15"/>
        <v>0.85416666666666663</v>
      </c>
      <c r="G79" s="12">
        <v>0.89583333333333304</v>
      </c>
      <c r="H79" s="38" t="s">
        <v>120</v>
      </c>
      <c r="I79" s="39"/>
      <c r="J79" s="39"/>
      <c r="K79" s="39"/>
      <c r="L79" s="39"/>
      <c r="M79" s="39"/>
      <c r="N79" s="39"/>
      <c r="O79" s="39"/>
      <c r="P79" s="40"/>
      <c r="Q79" s="26"/>
      <c r="R79" s="26"/>
      <c r="S79" s="26"/>
      <c r="T79" s="26"/>
      <c r="U79" s="26"/>
    </row>
    <row r="80" spans="4:21" s="3" customFormat="1" ht="27" customHeight="1" x14ac:dyDescent="0.25">
      <c r="D80" s="41"/>
      <c r="E80" s="42"/>
      <c r="F80" s="12">
        <f t="shared" si="15"/>
        <v>0.89583333333333304</v>
      </c>
      <c r="G80" s="12">
        <v>0.95833333333333337</v>
      </c>
      <c r="H80" s="38" t="s">
        <v>121</v>
      </c>
      <c r="I80" s="39"/>
      <c r="J80" s="39"/>
      <c r="K80" s="39"/>
      <c r="L80" s="39"/>
      <c r="M80" s="39"/>
      <c r="N80" s="39"/>
      <c r="O80" s="39"/>
      <c r="P80" s="40"/>
      <c r="Q80" s="26"/>
      <c r="R80" s="26"/>
      <c r="S80" s="26"/>
      <c r="T80" s="26"/>
      <c r="U80" s="26"/>
    </row>
    <row r="81" spans="4:21" s="3" customFormat="1" ht="27" customHeight="1" x14ac:dyDescent="0.25">
      <c r="D81" s="41"/>
      <c r="E81" s="42"/>
      <c r="F81" s="12">
        <f t="shared" si="15"/>
        <v>0.95833333333333337</v>
      </c>
      <c r="G81" s="12">
        <v>1</v>
      </c>
      <c r="H81" s="38" t="s">
        <v>122</v>
      </c>
      <c r="I81" s="39"/>
      <c r="J81" s="39"/>
      <c r="K81" s="39"/>
      <c r="L81" s="39"/>
      <c r="M81" s="39"/>
      <c r="N81" s="39"/>
      <c r="O81" s="39"/>
      <c r="P81" s="40"/>
      <c r="Q81" s="26"/>
      <c r="R81" s="26"/>
      <c r="S81" s="26"/>
      <c r="T81" s="26"/>
      <c r="U81" s="26"/>
    </row>
    <row r="82" spans="4:21" s="3" customFormat="1" ht="27" customHeight="1" x14ac:dyDescent="0.25">
      <c r="D82" s="41">
        <v>44935</v>
      </c>
      <c r="E82" s="42"/>
      <c r="F82" s="12">
        <f t="shared" si="15"/>
        <v>1</v>
      </c>
      <c r="G82" s="12">
        <v>0.10416666666666667</v>
      </c>
      <c r="H82" s="38" t="s">
        <v>123</v>
      </c>
      <c r="I82" s="39"/>
      <c r="J82" s="39"/>
      <c r="K82" s="39"/>
      <c r="L82" s="39"/>
      <c r="M82" s="39"/>
      <c r="N82" s="39"/>
      <c r="O82" s="39"/>
      <c r="P82" s="40"/>
      <c r="Q82" s="26"/>
      <c r="R82" s="26"/>
      <c r="S82" s="26"/>
      <c r="T82" s="26"/>
      <c r="U82" s="26"/>
    </row>
    <row r="83" spans="4:21" s="3" customFormat="1" ht="27" customHeight="1" x14ac:dyDescent="0.25">
      <c r="D83" s="41"/>
      <c r="E83" s="42"/>
      <c r="F83" s="12">
        <f t="shared" si="15"/>
        <v>0.10416666666666667</v>
      </c>
      <c r="G83" s="12">
        <v>0.45833333333333331</v>
      </c>
      <c r="H83" s="38" t="s">
        <v>124</v>
      </c>
      <c r="I83" s="39"/>
      <c r="J83" s="39"/>
      <c r="K83" s="39"/>
      <c r="L83" s="39"/>
      <c r="M83" s="39"/>
      <c r="N83" s="39"/>
      <c r="O83" s="39"/>
      <c r="P83" s="40"/>
      <c r="Q83" s="26"/>
      <c r="R83" s="26"/>
      <c r="S83" s="26"/>
      <c r="T83" s="26"/>
      <c r="U83" s="26"/>
    </row>
    <row r="84" spans="4:21" s="3" customFormat="1" ht="27" customHeight="1" x14ac:dyDescent="0.25">
      <c r="D84" s="41"/>
      <c r="E84" s="42"/>
      <c r="F84" s="12">
        <f t="shared" ref="F84:F85" si="16">G83</f>
        <v>0.45833333333333331</v>
      </c>
      <c r="G84" s="12">
        <v>0.79166666666666663</v>
      </c>
      <c r="H84" s="38" t="s">
        <v>125</v>
      </c>
      <c r="I84" s="39"/>
      <c r="J84" s="39"/>
      <c r="K84" s="39"/>
      <c r="L84" s="39"/>
      <c r="M84" s="39"/>
      <c r="N84" s="39"/>
      <c r="O84" s="39"/>
      <c r="P84" s="40"/>
      <c r="Q84" s="26"/>
      <c r="R84" s="26"/>
      <c r="S84" s="26"/>
      <c r="T84" s="26"/>
      <c r="U84" s="26"/>
    </row>
    <row r="85" spans="4:21" s="3" customFormat="1" ht="27" customHeight="1" x14ac:dyDescent="0.25">
      <c r="D85" s="41"/>
      <c r="E85" s="42"/>
      <c r="F85" s="12">
        <f t="shared" si="16"/>
        <v>0.79166666666666663</v>
      </c>
      <c r="G85" s="12">
        <v>0.89583333333333337</v>
      </c>
      <c r="H85" s="38" t="s">
        <v>126</v>
      </c>
      <c r="I85" s="39"/>
      <c r="J85" s="39"/>
      <c r="K85" s="39"/>
      <c r="L85" s="39"/>
      <c r="M85" s="39"/>
      <c r="N85" s="39"/>
      <c r="O85" s="39"/>
      <c r="P85" s="40"/>
      <c r="Q85" s="26"/>
      <c r="R85" s="26"/>
      <c r="S85" s="26"/>
      <c r="T85" s="26"/>
      <c r="U85" s="26"/>
    </row>
    <row r="86" spans="4:21" s="3" customFormat="1" ht="27" customHeight="1" x14ac:dyDescent="0.25">
      <c r="D86" s="41"/>
      <c r="E86" s="42"/>
      <c r="F86" s="12">
        <f t="shared" ref="F86" si="17">G85</f>
        <v>0.89583333333333337</v>
      </c>
      <c r="G86" s="12">
        <v>0.95833333333333337</v>
      </c>
      <c r="H86" s="38" t="s">
        <v>127</v>
      </c>
      <c r="I86" s="39"/>
      <c r="J86" s="39"/>
      <c r="K86" s="39"/>
      <c r="L86" s="39"/>
      <c r="M86" s="39"/>
      <c r="N86" s="39"/>
      <c r="O86" s="39"/>
      <c r="P86" s="40"/>
      <c r="Q86" s="26"/>
      <c r="R86" s="26"/>
      <c r="S86" s="26"/>
      <c r="T86" s="26"/>
      <c r="U86" s="26"/>
    </row>
    <row r="87" spans="4:21" s="3" customFormat="1" ht="27" customHeight="1" x14ac:dyDescent="0.25">
      <c r="D87" s="41"/>
      <c r="E87" s="42"/>
      <c r="F87" s="12">
        <f t="shared" ref="F87" si="18">G86</f>
        <v>0.95833333333333337</v>
      </c>
      <c r="G87" s="12">
        <v>1</v>
      </c>
      <c r="H87" s="38" t="s">
        <v>128</v>
      </c>
      <c r="I87" s="39"/>
      <c r="J87" s="39"/>
      <c r="K87" s="39"/>
      <c r="L87" s="39"/>
      <c r="M87" s="39"/>
      <c r="N87" s="39"/>
      <c r="O87" s="39"/>
      <c r="P87" s="40"/>
      <c r="Q87" s="26"/>
      <c r="R87" s="26"/>
      <c r="S87" s="26"/>
      <c r="T87" s="26"/>
      <c r="U87" s="26"/>
    </row>
    <row r="88" spans="4:21" s="3" customFormat="1" ht="27" customHeight="1" x14ac:dyDescent="0.25">
      <c r="D88" s="41">
        <v>44936</v>
      </c>
      <c r="E88" s="42"/>
      <c r="F88" s="12">
        <f t="shared" ref="F88" si="19">G87</f>
        <v>1</v>
      </c>
      <c r="G88" s="12">
        <v>0.11805555555555557</v>
      </c>
      <c r="H88" s="38" t="s">
        <v>129</v>
      </c>
      <c r="I88" s="39"/>
      <c r="J88" s="39"/>
      <c r="K88" s="39"/>
      <c r="L88" s="39"/>
      <c r="M88" s="39"/>
      <c r="N88" s="39"/>
      <c r="O88" s="39"/>
      <c r="P88" s="40"/>
      <c r="Q88" s="26"/>
      <c r="R88" s="26"/>
      <c r="S88" s="26"/>
      <c r="T88" s="26"/>
      <c r="U88" s="26"/>
    </row>
    <row r="89" spans="4:21" s="3" customFormat="1" ht="27" customHeight="1" x14ac:dyDescent="0.25">
      <c r="D89" s="41"/>
      <c r="E89" s="42"/>
      <c r="F89" s="12">
        <f t="shared" ref="F89" si="20">G88</f>
        <v>0.11805555555555557</v>
      </c>
      <c r="G89" s="12">
        <v>0.17361111111111113</v>
      </c>
      <c r="H89" s="38" t="s">
        <v>122</v>
      </c>
      <c r="I89" s="39"/>
      <c r="J89" s="39"/>
      <c r="K89" s="39"/>
      <c r="L89" s="39"/>
      <c r="M89" s="39"/>
      <c r="N89" s="39"/>
      <c r="O89" s="39"/>
      <c r="P89" s="40"/>
      <c r="Q89" s="26"/>
      <c r="R89" s="26"/>
      <c r="S89" s="26"/>
      <c r="T89" s="26"/>
      <c r="U89" s="26"/>
    </row>
    <row r="90" spans="4:21" s="3" customFormat="1" ht="27" customHeight="1" x14ac:dyDescent="0.25">
      <c r="D90" s="41"/>
      <c r="E90" s="42"/>
      <c r="F90" s="12">
        <f t="shared" ref="F90" si="21">G89</f>
        <v>0.17361111111111113</v>
      </c>
      <c r="G90" s="12">
        <v>0.25</v>
      </c>
      <c r="H90" s="38" t="s">
        <v>130</v>
      </c>
      <c r="I90" s="39"/>
      <c r="J90" s="39"/>
      <c r="K90" s="39"/>
      <c r="L90" s="39"/>
      <c r="M90" s="39"/>
      <c r="N90" s="39"/>
      <c r="O90" s="39"/>
      <c r="P90" s="40"/>
      <c r="Q90" s="26"/>
      <c r="R90" s="26"/>
      <c r="S90" s="26"/>
      <c r="T90" s="26"/>
      <c r="U90" s="26"/>
    </row>
    <row r="91" spans="4:21" s="3" customFormat="1" ht="27" customHeight="1" x14ac:dyDescent="0.25">
      <c r="D91" s="41"/>
      <c r="E91" s="42"/>
      <c r="F91" s="12">
        <f t="shared" ref="F91" si="22">G90</f>
        <v>0.25</v>
      </c>
      <c r="G91" s="12">
        <v>0.35416666666666669</v>
      </c>
      <c r="H91" s="38" t="s">
        <v>159</v>
      </c>
      <c r="I91" s="39"/>
      <c r="J91" s="39"/>
      <c r="K91" s="39"/>
      <c r="L91" s="39"/>
      <c r="M91" s="39"/>
      <c r="N91" s="39"/>
      <c r="O91" s="39"/>
      <c r="P91" s="40"/>
      <c r="Q91" s="26"/>
      <c r="R91" s="26"/>
      <c r="S91" s="26"/>
      <c r="T91" s="26"/>
      <c r="U91" s="26"/>
    </row>
    <row r="92" spans="4:21" s="3" customFormat="1" ht="27" customHeight="1" x14ac:dyDescent="0.25">
      <c r="D92" s="41"/>
      <c r="E92" s="42"/>
      <c r="F92" s="12">
        <f t="shared" ref="F92" si="23">G91</f>
        <v>0.35416666666666669</v>
      </c>
      <c r="G92" s="12">
        <v>0.625</v>
      </c>
      <c r="H92" s="38" t="s">
        <v>131</v>
      </c>
      <c r="I92" s="39"/>
      <c r="J92" s="39"/>
      <c r="K92" s="39"/>
      <c r="L92" s="39"/>
      <c r="M92" s="39"/>
      <c r="N92" s="39"/>
      <c r="O92" s="39"/>
      <c r="P92" s="40"/>
      <c r="Q92" s="26"/>
      <c r="R92" s="26"/>
      <c r="S92" s="26"/>
      <c r="T92" s="26"/>
      <c r="U92" s="26"/>
    </row>
    <row r="93" spans="4:21" s="3" customFormat="1" ht="57" customHeight="1" x14ac:dyDescent="0.25">
      <c r="D93" s="41"/>
      <c r="E93" s="42"/>
      <c r="F93" s="12">
        <f t="shared" ref="F93" si="24">G92</f>
        <v>0.625</v>
      </c>
      <c r="G93" s="12">
        <v>0.68055555555555547</v>
      </c>
      <c r="H93" s="38" t="s">
        <v>134</v>
      </c>
      <c r="I93" s="39"/>
      <c r="J93" s="39"/>
      <c r="K93" s="39"/>
      <c r="L93" s="39"/>
      <c r="M93" s="39"/>
      <c r="N93" s="39"/>
      <c r="O93" s="39"/>
      <c r="P93" s="40"/>
      <c r="Q93" s="26"/>
      <c r="R93" s="26"/>
      <c r="S93" s="26"/>
      <c r="T93" s="26"/>
      <c r="U93" s="26"/>
    </row>
    <row r="94" spans="4:21" s="3" customFormat="1" ht="27" customHeight="1" x14ac:dyDescent="0.25">
      <c r="D94" s="41"/>
      <c r="E94" s="42"/>
      <c r="F94" s="12">
        <f t="shared" ref="F94" si="25">G93</f>
        <v>0.68055555555555547</v>
      </c>
      <c r="G94" s="12">
        <v>0.83333333333333337</v>
      </c>
      <c r="H94" s="38" t="s">
        <v>133</v>
      </c>
      <c r="I94" s="39"/>
      <c r="J94" s="39"/>
      <c r="K94" s="39"/>
      <c r="L94" s="39"/>
      <c r="M94" s="39"/>
      <c r="N94" s="39"/>
      <c r="O94" s="39"/>
      <c r="P94" s="40"/>
      <c r="Q94" s="26"/>
      <c r="R94" s="26"/>
      <c r="S94" s="26"/>
      <c r="T94" s="26"/>
      <c r="U94" s="26"/>
    </row>
    <row r="95" spans="4:21" s="3" customFormat="1" ht="27" customHeight="1" x14ac:dyDescent="0.25">
      <c r="D95" s="41"/>
      <c r="E95" s="42"/>
      <c r="F95" s="12">
        <f t="shared" ref="F95" si="26">G94</f>
        <v>0.83333333333333337</v>
      </c>
      <c r="G95" s="12">
        <v>1</v>
      </c>
      <c r="H95" s="38" t="s">
        <v>132</v>
      </c>
      <c r="I95" s="39"/>
      <c r="J95" s="39"/>
      <c r="K95" s="39"/>
      <c r="L95" s="39"/>
      <c r="M95" s="39"/>
      <c r="N95" s="39"/>
      <c r="O95" s="39"/>
      <c r="P95" s="40"/>
      <c r="Q95" s="26"/>
      <c r="R95" s="26"/>
      <c r="S95" s="26"/>
      <c r="T95" s="26"/>
      <c r="U95" s="26"/>
    </row>
    <row r="96" spans="4:21" s="3" customFormat="1" ht="27" customHeight="1" x14ac:dyDescent="0.25">
      <c r="D96" s="41">
        <v>44937</v>
      </c>
      <c r="E96" s="42"/>
      <c r="F96" s="12">
        <f t="shared" ref="F96" si="27">G95</f>
        <v>1</v>
      </c>
      <c r="G96" s="12">
        <v>0.1875</v>
      </c>
      <c r="H96" s="38" t="s">
        <v>132</v>
      </c>
      <c r="I96" s="39"/>
      <c r="J96" s="39"/>
      <c r="K96" s="39"/>
      <c r="L96" s="39"/>
      <c r="M96" s="39"/>
      <c r="N96" s="39"/>
      <c r="O96" s="39"/>
      <c r="P96" s="40"/>
      <c r="Q96" s="26"/>
      <c r="R96" s="26"/>
      <c r="S96" s="26"/>
      <c r="T96" s="26"/>
      <c r="U96" s="26"/>
    </row>
    <row r="97" spans="4:21" s="3" customFormat="1" ht="27" customHeight="1" x14ac:dyDescent="0.25">
      <c r="D97" s="41"/>
      <c r="E97" s="42"/>
      <c r="F97" s="12">
        <f t="shared" ref="F97" si="28">G96</f>
        <v>0.1875</v>
      </c>
      <c r="G97" s="12">
        <v>0.25</v>
      </c>
      <c r="H97" s="38" t="s">
        <v>135</v>
      </c>
      <c r="I97" s="39"/>
      <c r="J97" s="39"/>
      <c r="K97" s="39"/>
      <c r="L97" s="39"/>
      <c r="M97" s="39"/>
      <c r="N97" s="39"/>
      <c r="O97" s="39"/>
      <c r="P97" s="40"/>
      <c r="Q97" s="26"/>
      <c r="R97" s="26"/>
      <c r="S97" s="26"/>
      <c r="T97" s="26"/>
      <c r="U97" s="26"/>
    </row>
    <row r="98" spans="4:21" s="3" customFormat="1" ht="27" customHeight="1" x14ac:dyDescent="0.25">
      <c r="D98" s="41"/>
      <c r="E98" s="42"/>
      <c r="F98" s="12">
        <f t="shared" ref="F98:F99" si="29">G97</f>
        <v>0.25</v>
      </c>
      <c r="G98" s="12">
        <v>0.5</v>
      </c>
      <c r="H98" s="38" t="s">
        <v>136</v>
      </c>
      <c r="I98" s="39"/>
      <c r="J98" s="39"/>
      <c r="K98" s="39"/>
      <c r="L98" s="39"/>
      <c r="M98" s="39"/>
      <c r="N98" s="39"/>
      <c r="O98" s="39"/>
      <c r="P98" s="40"/>
      <c r="Q98" s="26"/>
      <c r="R98" s="26"/>
      <c r="S98" s="26"/>
      <c r="T98" s="26"/>
      <c r="U98" s="26"/>
    </row>
    <row r="99" spans="4:21" s="3" customFormat="1" ht="27" customHeight="1" x14ac:dyDescent="0.25">
      <c r="D99" s="41"/>
      <c r="E99" s="42"/>
      <c r="F99" s="12">
        <f t="shared" si="29"/>
        <v>0.5</v>
      </c>
      <c r="G99" s="12">
        <v>0.64583333333333337</v>
      </c>
      <c r="H99" s="38" t="s">
        <v>137</v>
      </c>
      <c r="I99" s="39"/>
      <c r="J99" s="39"/>
      <c r="K99" s="39"/>
      <c r="L99" s="39"/>
      <c r="M99" s="39"/>
      <c r="N99" s="39"/>
      <c r="O99" s="39"/>
      <c r="P99" s="40"/>
      <c r="Q99" s="26"/>
      <c r="R99" s="26"/>
      <c r="S99" s="26"/>
      <c r="T99" s="26"/>
      <c r="U99" s="26"/>
    </row>
    <row r="100" spans="4:21" s="3" customFormat="1" ht="27" customHeight="1" x14ac:dyDescent="0.25">
      <c r="D100" s="41"/>
      <c r="E100" s="42"/>
      <c r="F100" s="12">
        <f t="shared" ref="F100" si="30">G99</f>
        <v>0.64583333333333337</v>
      </c>
      <c r="G100" s="12">
        <v>1</v>
      </c>
      <c r="H100" s="38" t="s">
        <v>138</v>
      </c>
      <c r="I100" s="39"/>
      <c r="J100" s="39"/>
      <c r="K100" s="39"/>
      <c r="L100" s="39"/>
      <c r="M100" s="39"/>
      <c r="N100" s="39"/>
      <c r="O100" s="39"/>
      <c r="P100" s="40"/>
      <c r="Q100" s="26"/>
      <c r="R100" s="26"/>
      <c r="S100" s="26"/>
      <c r="T100" s="26"/>
      <c r="U100" s="26"/>
    </row>
    <row r="101" spans="4:21" s="3" customFormat="1" ht="27" customHeight="1" x14ac:dyDescent="0.25">
      <c r="D101" s="41">
        <v>44938</v>
      </c>
      <c r="E101" s="42"/>
      <c r="F101" s="12">
        <f t="shared" ref="F101" si="31">G100</f>
        <v>1</v>
      </c>
      <c r="G101" s="12">
        <v>0.21527777777777779</v>
      </c>
      <c r="H101" s="38" t="s">
        <v>139</v>
      </c>
      <c r="I101" s="39"/>
      <c r="J101" s="39"/>
      <c r="K101" s="39"/>
      <c r="L101" s="39"/>
      <c r="M101" s="39"/>
      <c r="N101" s="39"/>
      <c r="O101" s="39"/>
      <c r="P101" s="40"/>
      <c r="Q101" s="26"/>
      <c r="R101" s="26"/>
      <c r="S101" s="26"/>
      <c r="T101" s="26"/>
      <c r="U101" s="26"/>
    </row>
    <row r="102" spans="4:21" s="3" customFormat="1" ht="27" customHeight="1" x14ac:dyDescent="0.25">
      <c r="D102" s="41"/>
      <c r="E102" s="42"/>
      <c r="F102" s="12">
        <f t="shared" ref="F102:F104" si="32">G101</f>
        <v>0.21527777777777779</v>
      </c>
      <c r="G102" s="12">
        <v>0.31944444444444448</v>
      </c>
      <c r="H102" s="38" t="s">
        <v>140</v>
      </c>
      <c r="I102" s="39"/>
      <c r="J102" s="39"/>
      <c r="K102" s="39"/>
      <c r="L102" s="39"/>
      <c r="M102" s="39"/>
      <c r="N102" s="39"/>
      <c r="O102" s="39"/>
      <c r="P102" s="40"/>
      <c r="Q102" s="26"/>
      <c r="R102" s="26"/>
      <c r="S102" s="26"/>
      <c r="T102" s="26"/>
      <c r="U102" s="26"/>
    </row>
    <row r="103" spans="4:21" s="3" customFormat="1" ht="27" customHeight="1" x14ac:dyDescent="0.25">
      <c r="D103" s="41"/>
      <c r="E103" s="42"/>
      <c r="F103" s="12">
        <f t="shared" si="32"/>
        <v>0.31944444444444448</v>
      </c>
      <c r="G103" s="12">
        <v>0.375</v>
      </c>
      <c r="H103" s="38" t="s">
        <v>147</v>
      </c>
      <c r="I103" s="39"/>
      <c r="J103" s="39"/>
      <c r="K103" s="39"/>
      <c r="L103" s="39"/>
      <c r="M103" s="39"/>
      <c r="N103" s="39"/>
      <c r="O103" s="39"/>
      <c r="P103" s="40"/>
      <c r="Q103" s="26"/>
      <c r="R103" s="26"/>
      <c r="S103" s="26"/>
      <c r="T103" s="26"/>
      <c r="U103" s="26"/>
    </row>
    <row r="104" spans="4:21" s="3" customFormat="1" ht="27" customHeight="1" x14ac:dyDescent="0.25">
      <c r="D104" s="41"/>
      <c r="E104" s="42"/>
      <c r="F104" s="12">
        <f t="shared" si="32"/>
        <v>0.375</v>
      </c>
      <c r="G104" s="12">
        <v>0.47916666666666669</v>
      </c>
      <c r="H104" s="38" t="s">
        <v>142</v>
      </c>
      <c r="I104" s="39"/>
      <c r="J104" s="39"/>
      <c r="K104" s="39"/>
      <c r="L104" s="39"/>
      <c r="M104" s="39"/>
      <c r="N104" s="39"/>
      <c r="O104" s="39"/>
      <c r="P104" s="40"/>
      <c r="Q104" s="26"/>
      <c r="R104" s="26"/>
      <c r="S104" s="26"/>
      <c r="T104" s="26"/>
      <c r="U104" s="26"/>
    </row>
    <row r="105" spans="4:21" s="3" customFormat="1" ht="27" customHeight="1" x14ac:dyDescent="0.25">
      <c r="D105" s="41"/>
      <c r="E105" s="42"/>
      <c r="F105" s="12">
        <f t="shared" ref="F105" si="33">G104</f>
        <v>0.47916666666666669</v>
      </c>
      <c r="G105" s="12">
        <v>0.5</v>
      </c>
      <c r="H105" s="38" t="s">
        <v>144</v>
      </c>
      <c r="I105" s="39"/>
      <c r="J105" s="39"/>
      <c r="K105" s="39"/>
      <c r="L105" s="39"/>
      <c r="M105" s="39"/>
      <c r="N105" s="39"/>
      <c r="O105" s="39"/>
      <c r="P105" s="40"/>
      <c r="Q105" s="26"/>
      <c r="R105" s="26"/>
      <c r="S105" s="26"/>
      <c r="T105" s="26"/>
      <c r="U105" s="26"/>
    </row>
    <row r="106" spans="4:21" s="3" customFormat="1" ht="27" customHeight="1" x14ac:dyDescent="0.25">
      <c r="D106" s="41"/>
      <c r="E106" s="42"/>
      <c r="F106" s="12">
        <f>G105</f>
        <v>0.5</v>
      </c>
      <c r="G106" s="12">
        <v>0.58333333333333337</v>
      </c>
      <c r="H106" s="38" t="s">
        <v>141</v>
      </c>
      <c r="I106" s="39"/>
      <c r="J106" s="39"/>
      <c r="K106" s="39"/>
      <c r="L106" s="39"/>
      <c r="M106" s="39"/>
      <c r="N106" s="39"/>
      <c r="O106" s="39"/>
      <c r="P106" s="40"/>
      <c r="Q106" s="26"/>
      <c r="R106" s="26"/>
      <c r="S106" s="26"/>
      <c r="T106" s="26"/>
      <c r="U106" s="26"/>
    </row>
    <row r="107" spans="4:21" s="3" customFormat="1" ht="27" customHeight="1" x14ac:dyDescent="0.25">
      <c r="D107" s="41"/>
      <c r="E107" s="42"/>
      <c r="F107" s="12">
        <f t="shared" ref="F107:F108" si="34">G106</f>
        <v>0.58333333333333337</v>
      </c>
      <c r="G107" s="12">
        <v>0.625</v>
      </c>
      <c r="H107" s="38" t="s">
        <v>145</v>
      </c>
      <c r="I107" s="39"/>
      <c r="J107" s="39"/>
      <c r="K107" s="39"/>
      <c r="L107" s="39"/>
      <c r="M107" s="39"/>
      <c r="N107" s="39"/>
      <c r="O107" s="39"/>
      <c r="P107" s="40"/>
      <c r="Q107" s="26"/>
      <c r="R107" s="26"/>
      <c r="S107" s="26"/>
      <c r="T107" s="26"/>
      <c r="U107" s="26"/>
    </row>
    <row r="108" spans="4:21" s="3" customFormat="1" ht="27" customHeight="1" x14ac:dyDescent="0.25">
      <c r="D108" s="41"/>
      <c r="E108" s="42"/>
      <c r="F108" s="12">
        <f t="shared" si="34"/>
        <v>0.625</v>
      </c>
      <c r="G108" s="12">
        <v>0.64583333333333337</v>
      </c>
      <c r="H108" s="38" t="s">
        <v>146</v>
      </c>
      <c r="I108" s="39"/>
      <c r="J108" s="39"/>
      <c r="K108" s="39"/>
      <c r="L108" s="39"/>
      <c r="M108" s="39"/>
      <c r="N108" s="39"/>
      <c r="O108" s="39"/>
      <c r="P108" s="40"/>
      <c r="Q108" s="26"/>
      <c r="R108" s="26"/>
      <c r="S108" s="26"/>
      <c r="T108" s="26"/>
      <c r="U108" s="26"/>
    </row>
    <row r="109" spans="4:21" s="3" customFormat="1" ht="27" customHeight="1" x14ac:dyDescent="0.25">
      <c r="D109" s="41"/>
      <c r="E109" s="42"/>
      <c r="F109" s="12">
        <f t="shared" ref="F109" si="35">G108</f>
        <v>0.64583333333333337</v>
      </c>
      <c r="G109" s="12">
        <v>0.80208333333333337</v>
      </c>
      <c r="H109" s="38" t="s">
        <v>143</v>
      </c>
      <c r="I109" s="39"/>
      <c r="J109" s="39"/>
      <c r="K109" s="39"/>
      <c r="L109" s="39"/>
      <c r="M109" s="39"/>
      <c r="N109" s="39"/>
      <c r="O109" s="39"/>
      <c r="P109" s="40"/>
      <c r="Q109" s="26"/>
      <c r="R109" s="26"/>
      <c r="S109" s="26"/>
      <c r="T109" s="26"/>
      <c r="U109" s="26"/>
    </row>
    <row r="110" spans="4:21" s="3" customFormat="1" ht="27" customHeight="1" x14ac:dyDescent="0.25">
      <c r="D110" s="41"/>
      <c r="E110" s="42"/>
      <c r="F110" s="12">
        <f t="shared" ref="F110" si="36">G109</f>
        <v>0.80208333333333337</v>
      </c>
      <c r="G110" s="12">
        <v>1</v>
      </c>
      <c r="H110" s="38" t="s">
        <v>148</v>
      </c>
      <c r="I110" s="39"/>
      <c r="J110" s="39"/>
      <c r="K110" s="39"/>
      <c r="L110" s="39"/>
      <c r="M110" s="39"/>
      <c r="N110" s="39"/>
      <c r="O110" s="39"/>
      <c r="P110" s="40"/>
      <c r="Q110" s="26"/>
      <c r="R110" s="26"/>
      <c r="S110" s="26"/>
      <c r="T110" s="26"/>
      <c r="U110" s="26"/>
    </row>
    <row r="111" spans="4:21" s="3" customFormat="1" ht="27" customHeight="1" x14ac:dyDescent="0.25">
      <c r="D111" s="41">
        <v>44939</v>
      </c>
      <c r="E111" s="42"/>
      <c r="F111" s="12">
        <f t="shared" ref="F111" si="37">G110</f>
        <v>1</v>
      </c>
      <c r="G111" s="12">
        <v>6.25E-2</v>
      </c>
      <c r="H111" s="38" t="s">
        <v>149</v>
      </c>
      <c r="I111" s="39"/>
      <c r="J111" s="39"/>
      <c r="K111" s="39"/>
      <c r="L111" s="39"/>
      <c r="M111" s="39"/>
      <c r="N111" s="39"/>
      <c r="O111" s="39"/>
      <c r="P111" s="40"/>
      <c r="Q111" s="26"/>
      <c r="R111" s="26"/>
      <c r="S111" s="26"/>
      <c r="T111" s="26"/>
      <c r="U111" s="26"/>
    </row>
    <row r="112" spans="4:21" s="3" customFormat="1" ht="27" customHeight="1" x14ac:dyDescent="0.25">
      <c r="D112" s="41"/>
      <c r="E112" s="42"/>
      <c r="F112" s="12">
        <f t="shared" ref="F112" si="38">G111</f>
        <v>6.25E-2</v>
      </c>
      <c r="G112" s="12">
        <v>0.41666666666666669</v>
      </c>
      <c r="H112" s="38" t="s">
        <v>150</v>
      </c>
      <c r="I112" s="39"/>
      <c r="J112" s="39"/>
      <c r="K112" s="39"/>
      <c r="L112" s="39"/>
      <c r="M112" s="39"/>
      <c r="N112" s="39"/>
      <c r="O112" s="39"/>
      <c r="P112" s="40"/>
      <c r="Q112" s="26"/>
      <c r="R112" s="26"/>
      <c r="S112" s="26"/>
      <c r="T112" s="26"/>
      <c r="U112" s="26"/>
    </row>
    <row r="113" spans="4:21" s="3" customFormat="1" ht="27" customHeight="1" x14ac:dyDescent="0.25">
      <c r="D113" s="41"/>
      <c r="E113" s="42"/>
      <c r="F113" s="12">
        <f t="shared" ref="F113" si="39">G112</f>
        <v>0.41666666666666669</v>
      </c>
      <c r="G113" s="12">
        <v>0.54166666666666663</v>
      </c>
      <c r="H113" s="38" t="s">
        <v>151</v>
      </c>
      <c r="I113" s="39"/>
      <c r="J113" s="39"/>
      <c r="K113" s="39"/>
      <c r="L113" s="39"/>
      <c r="M113" s="39"/>
      <c r="N113" s="39"/>
      <c r="O113" s="39"/>
      <c r="P113" s="40"/>
      <c r="Q113" s="26"/>
      <c r="R113" s="26"/>
      <c r="S113" s="26"/>
      <c r="T113" s="26"/>
      <c r="U113" s="26"/>
    </row>
    <row r="114" spans="4:21" s="3" customFormat="1" ht="27" customHeight="1" x14ac:dyDescent="0.25">
      <c r="D114" s="41"/>
      <c r="E114" s="42"/>
      <c r="F114" s="12">
        <f t="shared" ref="F114" si="40">G113</f>
        <v>0.54166666666666663</v>
      </c>
      <c r="G114" s="12">
        <v>0.91666666666666663</v>
      </c>
      <c r="H114" s="38" t="s">
        <v>152</v>
      </c>
      <c r="I114" s="39"/>
      <c r="J114" s="39"/>
      <c r="K114" s="39"/>
      <c r="L114" s="39"/>
      <c r="M114" s="39"/>
      <c r="N114" s="39"/>
      <c r="O114" s="39"/>
      <c r="P114" s="40"/>
      <c r="Q114" s="26"/>
      <c r="R114" s="26"/>
      <c r="S114" s="26"/>
      <c r="T114" s="26"/>
      <c r="U114" s="26"/>
    </row>
    <row r="115" spans="4:21" s="3" customFormat="1" ht="27" customHeight="1" x14ac:dyDescent="0.25">
      <c r="D115" s="41"/>
      <c r="E115" s="42"/>
      <c r="F115" s="12">
        <f t="shared" ref="F115" si="41">G114</f>
        <v>0.91666666666666663</v>
      </c>
      <c r="G115" s="12">
        <v>1</v>
      </c>
      <c r="H115" s="38" t="s">
        <v>153</v>
      </c>
      <c r="I115" s="39"/>
      <c r="J115" s="39"/>
      <c r="K115" s="39"/>
      <c r="L115" s="39"/>
      <c r="M115" s="39"/>
      <c r="N115" s="39"/>
      <c r="O115" s="39"/>
      <c r="P115" s="40"/>
      <c r="Q115" s="26"/>
      <c r="R115" s="26"/>
      <c r="S115" s="26"/>
      <c r="T115" s="26"/>
      <c r="U115" s="26"/>
    </row>
    <row r="116" spans="4:21" s="3" customFormat="1" ht="35.25" customHeight="1" x14ac:dyDescent="0.25">
      <c r="D116" s="41">
        <v>44940</v>
      </c>
      <c r="E116" s="42"/>
      <c r="F116" s="12">
        <f t="shared" ref="F116" si="42">G115</f>
        <v>1</v>
      </c>
      <c r="G116" s="12">
        <v>5.2083333333333336E-2</v>
      </c>
      <c r="H116" s="38" t="s">
        <v>154</v>
      </c>
      <c r="I116" s="39"/>
      <c r="J116" s="39"/>
      <c r="K116" s="39"/>
      <c r="L116" s="39"/>
      <c r="M116" s="39"/>
      <c r="N116" s="39"/>
      <c r="O116" s="39"/>
      <c r="P116" s="40"/>
      <c r="Q116" s="26"/>
      <c r="R116" s="26"/>
      <c r="S116" s="26"/>
      <c r="T116" s="26"/>
      <c r="U116" s="26"/>
    </row>
    <row r="117" spans="4:21" s="3" customFormat="1" ht="27" customHeight="1" x14ac:dyDescent="0.25">
      <c r="D117" s="41"/>
      <c r="E117" s="42"/>
      <c r="F117" s="12">
        <f t="shared" ref="F117" si="43">G116</f>
        <v>5.2083333333333336E-2</v>
      </c>
      <c r="G117" s="12">
        <v>6.9444444444444434E-2</v>
      </c>
      <c r="H117" s="38" t="s">
        <v>155</v>
      </c>
      <c r="I117" s="39"/>
      <c r="J117" s="39"/>
      <c r="K117" s="39"/>
      <c r="L117" s="39"/>
      <c r="M117" s="39"/>
      <c r="N117" s="39"/>
      <c r="O117" s="39"/>
      <c r="P117" s="40"/>
      <c r="Q117" s="26"/>
      <c r="R117" s="26"/>
      <c r="S117" s="26"/>
      <c r="T117" s="26"/>
      <c r="U117" s="26"/>
    </row>
    <row r="118" spans="4:21" s="3" customFormat="1" ht="27" customHeight="1" x14ac:dyDescent="0.25">
      <c r="D118" s="41"/>
      <c r="E118" s="42"/>
      <c r="F118" s="12">
        <f t="shared" ref="F118:F119" si="44">G117</f>
        <v>6.9444444444444434E-2</v>
      </c>
      <c r="G118" s="12">
        <v>0.1111111111111111</v>
      </c>
      <c r="H118" s="38" t="s">
        <v>156</v>
      </c>
      <c r="I118" s="39"/>
      <c r="J118" s="39"/>
      <c r="K118" s="39"/>
      <c r="L118" s="39"/>
      <c r="M118" s="39"/>
      <c r="N118" s="39"/>
      <c r="O118" s="39"/>
      <c r="P118" s="40"/>
      <c r="Q118" s="26"/>
      <c r="R118" s="26"/>
      <c r="S118" s="26"/>
      <c r="T118" s="26"/>
      <c r="U118" s="26"/>
    </row>
    <row r="119" spans="4:21" s="3" customFormat="1" ht="27" customHeight="1" x14ac:dyDescent="0.25">
      <c r="D119" s="41"/>
      <c r="E119" s="42"/>
      <c r="F119" s="12">
        <f t="shared" si="44"/>
        <v>0.1111111111111111</v>
      </c>
      <c r="G119" s="24">
        <v>0.17361111111111113</v>
      </c>
      <c r="H119" s="38" t="s">
        <v>157</v>
      </c>
      <c r="I119" s="39"/>
      <c r="J119" s="39"/>
      <c r="K119" s="39"/>
      <c r="L119" s="39"/>
      <c r="M119" s="39"/>
      <c r="N119" s="39"/>
      <c r="O119" s="39"/>
      <c r="P119" s="40"/>
      <c r="Q119" s="26"/>
      <c r="R119" s="26"/>
      <c r="S119" s="26"/>
      <c r="T119" s="26"/>
      <c r="U119" s="26"/>
    </row>
    <row r="120" spans="4:21" s="3" customFormat="1" ht="27" customHeight="1" x14ac:dyDescent="0.25">
      <c r="D120" s="41"/>
      <c r="E120" s="42"/>
      <c r="F120" s="12">
        <f>G119</f>
        <v>0.17361111111111113</v>
      </c>
      <c r="G120" s="24">
        <v>0.25</v>
      </c>
      <c r="H120" s="38" t="s">
        <v>158</v>
      </c>
      <c r="I120" s="39"/>
      <c r="J120" s="39"/>
      <c r="K120" s="39"/>
      <c r="L120" s="39"/>
      <c r="M120" s="39"/>
      <c r="N120" s="39"/>
      <c r="O120" s="39"/>
      <c r="P120" s="40"/>
      <c r="Q120" s="26"/>
      <c r="R120" s="26"/>
      <c r="S120" s="26"/>
      <c r="T120" s="26"/>
      <c r="U120" s="26"/>
    </row>
    <row r="121" spans="4:21" s="3" customFormat="1" x14ac:dyDescent="0.25">
      <c r="F121" s="24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6"/>
      <c r="R121" s="26"/>
      <c r="S121" s="26"/>
      <c r="T121" s="26"/>
      <c r="U121" s="26"/>
    </row>
    <row r="122" spans="4:21" s="3" customFormat="1" x14ac:dyDescent="0.25">
      <c r="D122" s="121" t="s">
        <v>6</v>
      </c>
      <c r="E122" s="121"/>
      <c r="F122" s="122"/>
    </row>
    <row r="123" spans="4:21" s="3" customFormat="1" x14ac:dyDescent="0.25">
      <c r="D123" s="2"/>
      <c r="E123" s="2"/>
      <c r="F123" s="2"/>
      <c r="G123" s="62"/>
      <c r="H123" s="62"/>
      <c r="I123" s="62"/>
      <c r="J123" s="62"/>
      <c r="K123" s="62"/>
      <c r="L123" s="62"/>
      <c r="M123" s="62"/>
      <c r="N123" s="62"/>
      <c r="O123" s="62"/>
      <c r="P123" s="2"/>
      <c r="Q123" s="63"/>
      <c r="R123" s="63"/>
      <c r="S123" s="63"/>
      <c r="T123" s="63"/>
      <c r="U123" s="63"/>
    </row>
    <row r="124" spans="4:21" s="3" customFormat="1" x14ac:dyDescent="0.25">
      <c r="D124" s="4"/>
      <c r="E124" s="4"/>
      <c r="F124" s="4"/>
      <c r="G124" s="59" t="s">
        <v>14</v>
      </c>
      <c r="H124" s="60"/>
      <c r="I124" s="60"/>
      <c r="J124" s="60"/>
      <c r="K124" s="60"/>
      <c r="L124" s="60"/>
      <c r="M124" s="60"/>
      <c r="N124" s="60"/>
      <c r="O124" s="60"/>
      <c r="P124" s="4"/>
      <c r="Q124" s="59" t="s">
        <v>15</v>
      </c>
      <c r="R124" s="61"/>
      <c r="S124" s="61"/>
      <c r="T124" s="61"/>
      <c r="U124" s="61"/>
    </row>
    <row r="125" spans="4:21" s="3" customFormat="1" x14ac:dyDescent="0.25"/>
    <row r="126" spans="4:21" s="3" customFormat="1" x14ac:dyDescent="0.25"/>
    <row r="127" spans="4:21" s="3" customFormat="1" x14ac:dyDescent="0.25"/>
    <row r="128" spans="4:21" s="3" customFormat="1" x14ac:dyDescent="0.25"/>
    <row r="129" s="3" customFormat="1" x14ac:dyDescent="0.25"/>
    <row r="130" s="3" customFormat="1" x14ac:dyDescent="0.25"/>
    <row r="131" s="3" customFormat="1" x14ac:dyDescent="0.25"/>
    <row r="132" s="3" customFormat="1" x14ac:dyDescent="0.25"/>
    <row r="133" s="3" customFormat="1" x14ac:dyDescent="0.25"/>
    <row r="134" s="3" customFormat="1" x14ac:dyDescent="0.25"/>
    <row r="135" s="3" customFormat="1" x14ac:dyDescent="0.25"/>
    <row r="136" s="3" customFormat="1" x14ac:dyDescent="0.25"/>
    <row r="137" s="3" customFormat="1" x14ac:dyDescent="0.25"/>
    <row r="138" s="3" customFormat="1" x14ac:dyDescent="0.25"/>
    <row r="139" s="3" customFormat="1" x14ac:dyDescent="0.25"/>
    <row r="140" s="3" customFormat="1" x14ac:dyDescent="0.25"/>
    <row r="141" s="3" customFormat="1" x14ac:dyDescent="0.25"/>
    <row r="142" s="3" customFormat="1" x14ac:dyDescent="0.25"/>
    <row r="143" s="3" customFormat="1" x14ac:dyDescent="0.25"/>
    <row r="144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  <row r="372" s="3" customFormat="1" x14ac:dyDescent="0.25"/>
    <row r="373" s="3" customFormat="1" x14ac:dyDescent="0.25"/>
    <row r="374" s="3" customFormat="1" x14ac:dyDescent="0.25"/>
    <row r="375" s="3" customFormat="1" x14ac:dyDescent="0.25"/>
    <row r="376" s="3" customFormat="1" x14ac:dyDescent="0.25"/>
    <row r="377" s="3" customFormat="1" x14ac:dyDescent="0.25"/>
    <row r="378" s="3" customFormat="1" x14ac:dyDescent="0.25"/>
    <row r="379" s="3" customFormat="1" x14ac:dyDescent="0.25"/>
    <row r="380" s="3" customFormat="1" x14ac:dyDescent="0.25"/>
    <row r="381" s="3" customFormat="1" x14ac:dyDescent="0.25"/>
    <row r="382" s="3" customFormat="1" x14ac:dyDescent="0.25"/>
    <row r="383" s="3" customFormat="1" x14ac:dyDescent="0.25"/>
    <row r="384" s="3" customFormat="1" x14ac:dyDescent="0.25"/>
    <row r="385" s="3" customFormat="1" x14ac:dyDescent="0.25"/>
    <row r="386" s="3" customFormat="1" x14ac:dyDescent="0.25"/>
    <row r="387" s="3" customFormat="1" x14ac:dyDescent="0.25"/>
    <row r="388" s="3" customFormat="1" x14ac:dyDescent="0.25"/>
    <row r="389" s="3" customFormat="1" x14ac:dyDescent="0.25"/>
    <row r="390" s="3" customFormat="1" x14ac:dyDescent="0.25"/>
    <row r="391" s="3" customFormat="1" x14ac:dyDescent="0.25"/>
    <row r="392" s="3" customFormat="1" x14ac:dyDescent="0.25"/>
    <row r="393" s="3" customFormat="1" x14ac:dyDescent="0.25"/>
    <row r="394" s="3" customFormat="1" x14ac:dyDescent="0.25"/>
    <row r="395" s="3" customFormat="1" x14ac:dyDescent="0.25"/>
    <row r="396" s="3" customFormat="1" x14ac:dyDescent="0.25"/>
    <row r="397" s="3" customFormat="1" x14ac:dyDescent="0.25"/>
    <row r="398" s="3" customFormat="1" x14ac:dyDescent="0.25"/>
    <row r="399" s="3" customFormat="1" x14ac:dyDescent="0.25"/>
    <row r="400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  <row r="437" s="3" customFormat="1" x14ac:dyDescent="0.25"/>
    <row r="438" s="3" customFormat="1" x14ac:dyDescent="0.25"/>
    <row r="439" s="3" customFormat="1" x14ac:dyDescent="0.25"/>
    <row r="440" s="3" customFormat="1" x14ac:dyDescent="0.25"/>
    <row r="441" s="3" customFormat="1" x14ac:dyDescent="0.25"/>
    <row r="442" s="3" customFormat="1" x14ac:dyDescent="0.25"/>
    <row r="443" s="3" customFormat="1" x14ac:dyDescent="0.25"/>
    <row r="444" s="3" customFormat="1" x14ac:dyDescent="0.25"/>
    <row r="445" s="3" customFormat="1" x14ac:dyDescent="0.25"/>
    <row r="446" s="3" customFormat="1" x14ac:dyDescent="0.25"/>
    <row r="447" s="3" customFormat="1" x14ac:dyDescent="0.25"/>
    <row r="448" s="3" customFormat="1" x14ac:dyDescent="0.25"/>
    <row r="449" s="3" customFormat="1" x14ac:dyDescent="0.25"/>
    <row r="450" s="3" customFormat="1" x14ac:dyDescent="0.25"/>
    <row r="451" s="3" customFormat="1" x14ac:dyDescent="0.25"/>
    <row r="452" s="3" customFormat="1" x14ac:dyDescent="0.25"/>
    <row r="453" s="3" customFormat="1" x14ac:dyDescent="0.25"/>
    <row r="454" s="3" customFormat="1" x14ac:dyDescent="0.25"/>
    <row r="455" s="3" customFormat="1" x14ac:dyDescent="0.25"/>
    <row r="456" s="3" customFormat="1" x14ac:dyDescent="0.25"/>
    <row r="457" s="3" customFormat="1" x14ac:dyDescent="0.25"/>
    <row r="458" s="3" customFormat="1" x14ac:dyDescent="0.25"/>
    <row r="459" s="3" customFormat="1" x14ac:dyDescent="0.25"/>
    <row r="460" s="3" customFormat="1" x14ac:dyDescent="0.25"/>
    <row r="461" s="3" customFormat="1" x14ac:dyDescent="0.25"/>
    <row r="462" s="3" customFormat="1" x14ac:dyDescent="0.25"/>
    <row r="463" s="3" customFormat="1" x14ac:dyDescent="0.25"/>
    <row r="464" s="3" customFormat="1" x14ac:dyDescent="0.25"/>
    <row r="465" s="3" customFormat="1" x14ac:dyDescent="0.25"/>
    <row r="466" s="3" customFormat="1" x14ac:dyDescent="0.25"/>
    <row r="467" s="3" customFormat="1" x14ac:dyDescent="0.25"/>
    <row r="468" s="3" customFormat="1" x14ac:dyDescent="0.25"/>
    <row r="469" s="3" customFormat="1" x14ac:dyDescent="0.25"/>
    <row r="470" s="3" customFormat="1" x14ac:dyDescent="0.25"/>
    <row r="471" s="3" customFormat="1" x14ac:dyDescent="0.25"/>
    <row r="472" s="3" customFormat="1" x14ac:dyDescent="0.25"/>
    <row r="473" s="3" customFormat="1" x14ac:dyDescent="0.25"/>
    <row r="474" s="3" customFormat="1" x14ac:dyDescent="0.25"/>
    <row r="475" s="3" customFormat="1" x14ac:dyDescent="0.25"/>
    <row r="476" s="3" customFormat="1" x14ac:dyDescent="0.25"/>
    <row r="477" s="3" customFormat="1" x14ac:dyDescent="0.25"/>
    <row r="478" s="3" customFormat="1" x14ac:dyDescent="0.25"/>
    <row r="479" s="3" customFormat="1" x14ac:dyDescent="0.25"/>
    <row r="480" s="3" customFormat="1" x14ac:dyDescent="0.25"/>
    <row r="481" s="3" customFormat="1" x14ac:dyDescent="0.25"/>
    <row r="482" s="3" customFormat="1" x14ac:dyDescent="0.25"/>
    <row r="483" s="3" customFormat="1" x14ac:dyDescent="0.25"/>
    <row r="484" s="3" customFormat="1" x14ac:dyDescent="0.25"/>
    <row r="485" s="3" customFormat="1" x14ac:dyDescent="0.25"/>
    <row r="486" s="3" customFormat="1" x14ac:dyDescent="0.25"/>
    <row r="487" s="3" customFormat="1" x14ac:dyDescent="0.25"/>
    <row r="488" s="3" customFormat="1" x14ac:dyDescent="0.25"/>
    <row r="489" s="3" customFormat="1" x14ac:dyDescent="0.25"/>
    <row r="490" s="3" customFormat="1" x14ac:dyDescent="0.25"/>
    <row r="491" s="3" customFormat="1" x14ac:dyDescent="0.25"/>
    <row r="492" s="3" customFormat="1" x14ac:dyDescent="0.25"/>
    <row r="493" s="3" customFormat="1" x14ac:dyDescent="0.25"/>
    <row r="494" s="3" customFormat="1" x14ac:dyDescent="0.25"/>
    <row r="495" s="3" customFormat="1" x14ac:dyDescent="0.25"/>
    <row r="496" s="3" customFormat="1" x14ac:dyDescent="0.25"/>
    <row r="497" s="3" customFormat="1" x14ac:dyDescent="0.25"/>
    <row r="498" s="3" customFormat="1" x14ac:dyDescent="0.25"/>
    <row r="499" s="3" customFormat="1" x14ac:dyDescent="0.25"/>
    <row r="500" s="3" customFormat="1" x14ac:dyDescent="0.25"/>
    <row r="501" s="3" customFormat="1" x14ac:dyDescent="0.25"/>
    <row r="502" s="3" customFormat="1" x14ac:dyDescent="0.25"/>
    <row r="503" s="3" customFormat="1" x14ac:dyDescent="0.25"/>
    <row r="504" s="3" customFormat="1" x14ac:dyDescent="0.25"/>
    <row r="505" s="3" customFormat="1" x14ac:dyDescent="0.25"/>
    <row r="506" s="3" customFormat="1" x14ac:dyDescent="0.25"/>
    <row r="507" s="3" customFormat="1" x14ac:dyDescent="0.25"/>
    <row r="508" s="3" customFormat="1" x14ac:dyDescent="0.25"/>
    <row r="509" s="3" customFormat="1" x14ac:dyDescent="0.25"/>
    <row r="510" s="3" customFormat="1" x14ac:dyDescent="0.25"/>
    <row r="511" s="3" customFormat="1" x14ac:dyDescent="0.25"/>
    <row r="512" s="3" customFormat="1" x14ac:dyDescent="0.25"/>
    <row r="513" s="3" customFormat="1" x14ac:dyDescent="0.25"/>
    <row r="514" s="3" customFormat="1" x14ac:dyDescent="0.25"/>
    <row r="515" s="3" customFormat="1" x14ac:dyDescent="0.25"/>
    <row r="516" s="3" customFormat="1" x14ac:dyDescent="0.25"/>
    <row r="517" s="3" customFormat="1" x14ac:dyDescent="0.25"/>
    <row r="518" s="3" customFormat="1" x14ac:dyDescent="0.25"/>
    <row r="519" s="3" customFormat="1" x14ac:dyDescent="0.25"/>
    <row r="520" s="3" customFormat="1" x14ac:dyDescent="0.25"/>
    <row r="521" s="3" customFormat="1" x14ac:dyDescent="0.25"/>
    <row r="522" s="3" customFormat="1" x14ac:dyDescent="0.25"/>
    <row r="523" s="3" customFormat="1" x14ac:dyDescent="0.25"/>
    <row r="524" s="3" customFormat="1" x14ac:dyDescent="0.25"/>
    <row r="525" s="3" customFormat="1" x14ac:dyDescent="0.25"/>
    <row r="526" s="3" customFormat="1" x14ac:dyDescent="0.25"/>
    <row r="527" s="3" customFormat="1" x14ac:dyDescent="0.25"/>
    <row r="528" s="3" customFormat="1" x14ac:dyDescent="0.25"/>
    <row r="529" s="3" customFormat="1" x14ac:dyDescent="0.25"/>
    <row r="530" s="3" customFormat="1" x14ac:dyDescent="0.25"/>
    <row r="531" s="3" customFormat="1" x14ac:dyDescent="0.25"/>
    <row r="532" s="3" customFormat="1" x14ac:dyDescent="0.25"/>
    <row r="533" s="3" customFormat="1" x14ac:dyDescent="0.25"/>
    <row r="534" s="3" customFormat="1" x14ac:dyDescent="0.25"/>
    <row r="535" s="3" customFormat="1" x14ac:dyDescent="0.25"/>
    <row r="536" s="3" customFormat="1" x14ac:dyDescent="0.25"/>
    <row r="537" s="3" customFormat="1" x14ac:dyDescent="0.25"/>
    <row r="538" s="3" customFormat="1" x14ac:dyDescent="0.25"/>
    <row r="539" s="3" customFormat="1" x14ac:dyDescent="0.25"/>
    <row r="540" s="3" customFormat="1" x14ac:dyDescent="0.25"/>
    <row r="541" s="3" customFormat="1" x14ac:dyDescent="0.25"/>
    <row r="542" s="3" customFormat="1" x14ac:dyDescent="0.25"/>
    <row r="543" s="3" customFormat="1" x14ac:dyDescent="0.25"/>
    <row r="544" s="3" customFormat="1" x14ac:dyDescent="0.25"/>
    <row r="545" s="3" customFormat="1" x14ac:dyDescent="0.25"/>
    <row r="546" s="3" customFormat="1" x14ac:dyDescent="0.25"/>
    <row r="547" s="3" customFormat="1" x14ac:dyDescent="0.25"/>
    <row r="548" s="3" customFormat="1" x14ac:dyDescent="0.25"/>
    <row r="549" s="3" customFormat="1" x14ac:dyDescent="0.25"/>
    <row r="550" s="3" customFormat="1" x14ac:dyDescent="0.25"/>
    <row r="551" s="3" customFormat="1" x14ac:dyDescent="0.25"/>
    <row r="552" s="3" customFormat="1" x14ac:dyDescent="0.25"/>
    <row r="553" s="3" customFormat="1" x14ac:dyDescent="0.25"/>
    <row r="554" s="3" customFormat="1" x14ac:dyDescent="0.25"/>
    <row r="555" s="3" customFormat="1" x14ac:dyDescent="0.25"/>
    <row r="556" s="3" customFormat="1" x14ac:dyDescent="0.25"/>
    <row r="557" s="3" customFormat="1" x14ac:dyDescent="0.25"/>
    <row r="558" s="3" customFormat="1" x14ac:dyDescent="0.25"/>
    <row r="559" s="3" customFormat="1" x14ac:dyDescent="0.25"/>
    <row r="560" s="3" customFormat="1" x14ac:dyDescent="0.25"/>
    <row r="561" s="3" customFormat="1" x14ac:dyDescent="0.25"/>
    <row r="562" s="3" customFormat="1" x14ac:dyDescent="0.25"/>
    <row r="563" s="3" customFormat="1" x14ac:dyDescent="0.25"/>
    <row r="564" s="3" customFormat="1" x14ac:dyDescent="0.25"/>
    <row r="565" s="3" customFormat="1" x14ac:dyDescent="0.25"/>
    <row r="566" s="3" customFormat="1" x14ac:dyDescent="0.25"/>
    <row r="567" s="3" customFormat="1" x14ac:dyDescent="0.25"/>
    <row r="568" s="3" customFormat="1" x14ac:dyDescent="0.25"/>
    <row r="569" s="3" customFormat="1" x14ac:dyDescent="0.25"/>
    <row r="570" s="3" customFormat="1" x14ac:dyDescent="0.25"/>
    <row r="571" s="3" customFormat="1" x14ac:dyDescent="0.25"/>
    <row r="572" s="3" customFormat="1" x14ac:dyDescent="0.25"/>
    <row r="573" s="3" customFormat="1" x14ac:dyDescent="0.25"/>
    <row r="574" s="3" customFormat="1" x14ac:dyDescent="0.25"/>
    <row r="575" s="3" customFormat="1" x14ac:dyDescent="0.25"/>
    <row r="576" s="3" customFormat="1" x14ac:dyDescent="0.25"/>
    <row r="577" s="3" customFormat="1" x14ac:dyDescent="0.25"/>
    <row r="578" s="3" customFormat="1" x14ac:dyDescent="0.25"/>
    <row r="579" s="3" customFormat="1" x14ac:dyDescent="0.25"/>
    <row r="580" s="3" customFormat="1" x14ac:dyDescent="0.25"/>
    <row r="581" s="3" customFormat="1" x14ac:dyDescent="0.25"/>
    <row r="582" s="3" customFormat="1" x14ac:dyDescent="0.25"/>
    <row r="583" s="3" customFormat="1" x14ac:dyDescent="0.25"/>
    <row r="584" s="3" customFormat="1" x14ac:dyDescent="0.25"/>
    <row r="585" s="3" customFormat="1" x14ac:dyDescent="0.25"/>
    <row r="586" s="3" customFormat="1" x14ac:dyDescent="0.25"/>
    <row r="587" s="3" customFormat="1" x14ac:dyDescent="0.25"/>
    <row r="588" s="3" customFormat="1" x14ac:dyDescent="0.25"/>
    <row r="589" s="3" customFormat="1" x14ac:dyDescent="0.25"/>
    <row r="590" s="3" customFormat="1" x14ac:dyDescent="0.25"/>
    <row r="591" s="3" customFormat="1" x14ac:dyDescent="0.25"/>
    <row r="592" s="3" customFormat="1" x14ac:dyDescent="0.25"/>
    <row r="593" s="3" customFormat="1" x14ac:dyDescent="0.25"/>
    <row r="594" s="3" customFormat="1" x14ac:dyDescent="0.25"/>
    <row r="595" s="3" customFormat="1" x14ac:dyDescent="0.25"/>
    <row r="596" s="3" customFormat="1" x14ac:dyDescent="0.25"/>
    <row r="597" s="3" customFormat="1" x14ac:dyDescent="0.25"/>
    <row r="598" s="3" customFormat="1" x14ac:dyDescent="0.25"/>
    <row r="599" s="3" customFormat="1" x14ac:dyDescent="0.25"/>
    <row r="600" s="3" customFormat="1" x14ac:dyDescent="0.25"/>
    <row r="601" s="3" customFormat="1" x14ac:dyDescent="0.25"/>
    <row r="602" s="3" customFormat="1" x14ac:dyDescent="0.25"/>
    <row r="603" s="3" customFormat="1" x14ac:dyDescent="0.25"/>
    <row r="604" s="3" customFormat="1" x14ac:dyDescent="0.25"/>
    <row r="605" s="3" customFormat="1" x14ac:dyDescent="0.25"/>
    <row r="606" s="3" customFormat="1" x14ac:dyDescent="0.25"/>
    <row r="607" s="3" customFormat="1" x14ac:dyDescent="0.25"/>
    <row r="608" s="3" customFormat="1" x14ac:dyDescent="0.25"/>
    <row r="609" s="3" customFormat="1" x14ac:dyDescent="0.25"/>
    <row r="610" s="3" customFormat="1" x14ac:dyDescent="0.25"/>
    <row r="611" s="3" customFormat="1" x14ac:dyDescent="0.25"/>
    <row r="612" s="3" customFormat="1" x14ac:dyDescent="0.25"/>
    <row r="613" s="3" customFormat="1" x14ac:dyDescent="0.25"/>
    <row r="614" s="3" customFormat="1" x14ac:dyDescent="0.25"/>
    <row r="615" s="3" customFormat="1" x14ac:dyDescent="0.25"/>
    <row r="616" s="3" customFormat="1" x14ac:dyDescent="0.25"/>
    <row r="617" s="3" customFormat="1" x14ac:dyDescent="0.25"/>
    <row r="618" s="3" customFormat="1" x14ac:dyDescent="0.25"/>
    <row r="619" s="3" customFormat="1" x14ac:dyDescent="0.25"/>
    <row r="620" s="3" customFormat="1" x14ac:dyDescent="0.25"/>
    <row r="621" s="3" customFormat="1" x14ac:dyDescent="0.25"/>
    <row r="622" s="3" customFormat="1" x14ac:dyDescent="0.25"/>
    <row r="623" s="3" customFormat="1" x14ac:dyDescent="0.25"/>
    <row r="624" s="3" customFormat="1" x14ac:dyDescent="0.25"/>
    <row r="625" s="3" customFormat="1" x14ac:dyDescent="0.25"/>
    <row r="626" s="3" customFormat="1" x14ac:dyDescent="0.25"/>
    <row r="627" s="3" customFormat="1" x14ac:dyDescent="0.25"/>
    <row r="628" s="3" customFormat="1" x14ac:dyDescent="0.25"/>
    <row r="629" s="3" customFormat="1" x14ac:dyDescent="0.25"/>
    <row r="630" s="3" customFormat="1" x14ac:dyDescent="0.25"/>
    <row r="631" s="3" customFormat="1" x14ac:dyDescent="0.25"/>
    <row r="632" s="3" customFormat="1" x14ac:dyDescent="0.25"/>
    <row r="633" s="3" customFormat="1" x14ac:dyDescent="0.25"/>
    <row r="634" s="3" customFormat="1" x14ac:dyDescent="0.25"/>
    <row r="635" s="3" customFormat="1" x14ac:dyDescent="0.25"/>
    <row r="636" s="3" customFormat="1" x14ac:dyDescent="0.25"/>
    <row r="637" s="3" customFormat="1" x14ac:dyDescent="0.25"/>
    <row r="638" s="3" customFormat="1" x14ac:dyDescent="0.25"/>
    <row r="639" s="3" customFormat="1" x14ac:dyDescent="0.25"/>
    <row r="640" s="3" customFormat="1" x14ac:dyDescent="0.25"/>
    <row r="641" s="3" customFormat="1" x14ac:dyDescent="0.25"/>
    <row r="642" s="3" customFormat="1" x14ac:dyDescent="0.25"/>
    <row r="643" s="3" customFormat="1" x14ac:dyDescent="0.25"/>
    <row r="644" s="3" customFormat="1" x14ac:dyDescent="0.25"/>
    <row r="645" s="3" customFormat="1" x14ac:dyDescent="0.25"/>
    <row r="646" s="3" customFormat="1" x14ac:dyDescent="0.25"/>
    <row r="647" s="3" customFormat="1" x14ac:dyDescent="0.25"/>
    <row r="648" s="3" customFormat="1" x14ac:dyDescent="0.25"/>
    <row r="649" s="3" customFormat="1" x14ac:dyDescent="0.25"/>
    <row r="650" s="3" customFormat="1" x14ac:dyDescent="0.25"/>
    <row r="651" s="3" customFormat="1" x14ac:dyDescent="0.25"/>
    <row r="652" s="3" customFormat="1" x14ac:dyDescent="0.25"/>
    <row r="653" s="3" customFormat="1" x14ac:dyDescent="0.25"/>
    <row r="654" s="3" customFormat="1" x14ac:dyDescent="0.25"/>
    <row r="655" s="3" customFormat="1" x14ac:dyDescent="0.25"/>
    <row r="656" s="3" customFormat="1" x14ac:dyDescent="0.25"/>
    <row r="657" s="3" customFormat="1" x14ac:dyDescent="0.25"/>
    <row r="658" s="3" customFormat="1" x14ac:dyDescent="0.25"/>
    <row r="659" s="3" customFormat="1" x14ac:dyDescent="0.25"/>
    <row r="660" s="3" customFormat="1" x14ac:dyDescent="0.25"/>
    <row r="661" s="3" customFormat="1" x14ac:dyDescent="0.25"/>
    <row r="662" s="3" customFormat="1" x14ac:dyDescent="0.25"/>
    <row r="663" s="3" customFormat="1" x14ac:dyDescent="0.25"/>
    <row r="664" s="3" customFormat="1" x14ac:dyDescent="0.25"/>
    <row r="665" s="3" customFormat="1" x14ac:dyDescent="0.25"/>
    <row r="666" s="3" customFormat="1" x14ac:dyDescent="0.25"/>
    <row r="667" s="3" customFormat="1" x14ac:dyDescent="0.25"/>
    <row r="668" s="3" customFormat="1" x14ac:dyDescent="0.25"/>
    <row r="669" s="3" customFormat="1" x14ac:dyDescent="0.25"/>
    <row r="670" s="3" customFormat="1" x14ac:dyDescent="0.25"/>
    <row r="671" s="3" customFormat="1" x14ac:dyDescent="0.25"/>
    <row r="672" s="3" customFormat="1" x14ac:dyDescent="0.25"/>
    <row r="673" s="3" customFormat="1" x14ac:dyDescent="0.25"/>
    <row r="674" s="3" customFormat="1" x14ac:dyDescent="0.25"/>
    <row r="675" s="3" customFormat="1" x14ac:dyDescent="0.25"/>
    <row r="676" s="3" customFormat="1" x14ac:dyDescent="0.25"/>
    <row r="677" s="3" customFormat="1" x14ac:dyDescent="0.25"/>
    <row r="678" s="3" customFormat="1" x14ac:dyDescent="0.25"/>
    <row r="679" s="3" customFormat="1" x14ac:dyDescent="0.25"/>
    <row r="680" s="3" customFormat="1" x14ac:dyDescent="0.25"/>
    <row r="681" s="3" customFormat="1" x14ac:dyDescent="0.25"/>
    <row r="682" s="3" customFormat="1" x14ac:dyDescent="0.25"/>
    <row r="683" s="3" customFormat="1" x14ac:dyDescent="0.25"/>
    <row r="684" s="3" customFormat="1" x14ac:dyDescent="0.25"/>
    <row r="685" s="3" customFormat="1" x14ac:dyDescent="0.25"/>
    <row r="686" s="3" customFormat="1" x14ac:dyDescent="0.25"/>
    <row r="687" s="3" customFormat="1" x14ac:dyDescent="0.25"/>
    <row r="688" s="3" customFormat="1" x14ac:dyDescent="0.25"/>
    <row r="689" s="3" customFormat="1" x14ac:dyDescent="0.25"/>
    <row r="690" s="3" customFormat="1" x14ac:dyDescent="0.25"/>
    <row r="691" s="3" customFormat="1" x14ac:dyDescent="0.25"/>
    <row r="692" s="3" customFormat="1" x14ac:dyDescent="0.25"/>
    <row r="693" s="3" customFormat="1" x14ac:dyDescent="0.25"/>
    <row r="694" s="3" customFormat="1" x14ac:dyDescent="0.25"/>
    <row r="695" s="3" customFormat="1" x14ac:dyDescent="0.25"/>
    <row r="696" s="3" customFormat="1" x14ac:dyDescent="0.25"/>
    <row r="697" s="3" customFormat="1" x14ac:dyDescent="0.25"/>
    <row r="698" s="3" customFormat="1" x14ac:dyDescent="0.25"/>
    <row r="699" s="3" customFormat="1" x14ac:dyDescent="0.25"/>
    <row r="700" s="3" customFormat="1" x14ac:dyDescent="0.25"/>
    <row r="701" s="3" customFormat="1" x14ac:dyDescent="0.25"/>
    <row r="702" s="3" customFormat="1" x14ac:dyDescent="0.25"/>
    <row r="703" s="3" customFormat="1" x14ac:dyDescent="0.25"/>
    <row r="704" s="3" customFormat="1" x14ac:dyDescent="0.25"/>
    <row r="705" s="3" customFormat="1" x14ac:dyDescent="0.25"/>
    <row r="706" s="3" customFormat="1" x14ac:dyDescent="0.25"/>
    <row r="707" s="3" customFormat="1" x14ac:dyDescent="0.25"/>
    <row r="708" s="3" customFormat="1" x14ac:dyDescent="0.25"/>
    <row r="709" s="3" customFormat="1" x14ac:dyDescent="0.25"/>
    <row r="710" s="3" customFormat="1" x14ac:dyDescent="0.25"/>
    <row r="711" s="3" customFormat="1" x14ac:dyDescent="0.25"/>
    <row r="712" s="3" customFormat="1" x14ac:dyDescent="0.25"/>
    <row r="713" s="3" customFormat="1" x14ac:dyDescent="0.25"/>
    <row r="714" s="3" customFormat="1" x14ac:dyDescent="0.25"/>
    <row r="715" s="3" customFormat="1" x14ac:dyDescent="0.25"/>
    <row r="716" s="3" customFormat="1" x14ac:dyDescent="0.25"/>
    <row r="717" s="3" customFormat="1" x14ac:dyDescent="0.25"/>
    <row r="718" s="3" customFormat="1" x14ac:dyDescent="0.25"/>
    <row r="719" s="3" customFormat="1" x14ac:dyDescent="0.25"/>
    <row r="720" s="3" customFormat="1" x14ac:dyDescent="0.25"/>
    <row r="721" s="3" customFormat="1" x14ac:dyDescent="0.25"/>
    <row r="722" s="3" customFormat="1" x14ac:dyDescent="0.25"/>
    <row r="723" s="3" customFormat="1" x14ac:dyDescent="0.25"/>
    <row r="724" s="3" customFormat="1" x14ac:dyDescent="0.25"/>
    <row r="725" s="3" customFormat="1" x14ac:dyDescent="0.25"/>
    <row r="726" s="3" customFormat="1" x14ac:dyDescent="0.25"/>
    <row r="727" s="3" customFormat="1" x14ac:dyDescent="0.25"/>
    <row r="728" s="3" customFormat="1" x14ac:dyDescent="0.25"/>
    <row r="729" s="3" customFormat="1" x14ac:dyDescent="0.25"/>
    <row r="730" s="3" customFormat="1" x14ac:dyDescent="0.25"/>
    <row r="731" s="3" customFormat="1" x14ac:dyDescent="0.25"/>
    <row r="732" s="3" customFormat="1" x14ac:dyDescent="0.25"/>
    <row r="733" s="3" customFormat="1" x14ac:dyDescent="0.25"/>
    <row r="734" s="3" customFormat="1" x14ac:dyDescent="0.25"/>
    <row r="735" s="3" customFormat="1" x14ac:dyDescent="0.25"/>
    <row r="736" s="3" customFormat="1" x14ac:dyDescent="0.25"/>
    <row r="737" s="3" customFormat="1" x14ac:dyDescent="0.25"/>
    <row r="738" s="3" customFormat="1" x14ac:dyDescent="0.25"/>
    <row r="739" s="3" customFormat="1" x14ac:dyDescent="0.25"/>
    <row r="740" s="3" customFormat="1" x14ac:dyDescent="0.25"/>
    <row r="741" s="3" customFormat="1" x14ac:dyDescent="0.25"/>
    <row r="742" s="3" customFormat="1" x14ac:dyDescent="0.25"/>
    <row r="743" s="3" customFormat="1" x14ac:dyDescent="0.25"/>
    <row r="744" s="3" customFormat="1" x14ac:dyDescent="0.25"/>
    <row r="745" s="3" customFormat="1" x14ac:dyDescent="0.25"/>
    <row r="746" s="3" customFormat="1" x14ac:dyDescent="0.25"/>
    <row r="747" s="3" customFormat="1" x14ac:dyDescent="0.25"/>
    <row r="748" s="3" customFormat="1" x14ac:dyDescent="0.25"/>
    <row r="749" s="3" customFormat="1" x14ac:dyDescent="0.25"/>
    <row r="750" s="3" customFormat="1" x14ac:dyDescent="0.25"/>
    <row r="751" s="3" customFormat="1" x14ac:dyDescent="0.25"/>
    <row r="752" s="3" customFormat="1" x14ac:dyDescent="0.25"/>
    <row r="753" s="3" customFormat="1" x14ac:dyDescent="0.25"/>
    <row r="754" s="3" customFormat="1" x14ac:dyDescent="0.25"/>
    <row r="755" s="3" customFormat="1" x14ac:dyDescent="0.25"/>
    <row r="756" s="3" customFormat="1" x14ac:dyDescent="0.25"/>
    <row r="757" s="3" customFormat="1" x14ac:dyDescent="0.25"/>
    <row r="758" s="3" customFormat="1" x14ac:dyDescent="0.25"/>
    <row r="759" s="3" customFormat="1" x14ac:dyDescent="0.25"/>
    <row r="760" s="3" customFormat="1" x14ac:dyDescent="0.25"/>
    <row r="761" s="3" customFormat="1" x14ac:dyDescent="0.25"/>
    <row r="762" s="3" customFormat="1" x14ac:dyDescent="0.25"/>
    <row r="763" s="3" customFormat="1" x14ac:dyDescent="0.25"/>
    <row r="764" s="3" customFormat="1" x14ac:dyDescent="0.25"/>
    <row r="765" s="3" customFormat="1" x14ac:dyDescent="0.25"/>
    <row r="766" s="3" customFormat="1" x14ac:dyDescent="0.25"/>
    <row r="767" s="3" customFormat="1" x14ac:dyDescent="0.25"/>
    <row r="768" s="3" customFormat="1" x14ac:dyDescent="0.25"/>
    <row r="769" s="3" customFormat="1" x14ac:dyDescent="0.25"/>
    <row r="770" s="3" customFormat="1" x14ac:dyDescent="0.25"/>
    <row r="771" s="3" customFormat="1" x14ac:dyDescent="0.25"/>
    <row r="772" s="3" customFormat="1" x14ac:dyDescent="0.25"/>
    <row r="773" s="3" customFormat="1" x14ac:dyDescent="0.25"/>
    <row r="774" s="3" customFormat="1" x14ac:dyDescent="0.25"/>
    <row r="775" s="3" customFormat="1" x14ac:dyDescent="0.25"/>
    <row r="776" s="3" customFormat="1" x14ac:dyDescent="0.25"/>
    <row r="777" s="3" customFormat="1" x14ac:dyDescent="0.25"/>
    <row r="778" s="3" customFormat="1" x14ac:dyDescent="0.25"/>
    <row r="779" s="3" customFormat="1" x14ac:dyDescent="0.25"/>
    <row r="780" s="3" customFormat="1" x14ac:dyDescent="0.25"/>
    <row r="781" s="3" customFormat="1" x14ac:dyDescent="0.25"/>
    <row r="782" s="3" customFormat="1" x14ac:dyDescent="0.25"/>
    <row r="783" s="3" customFormat="1" x14ac:dyDescent="0.25"/>
    <row r="784" s="3" customFormat="1" x14ac:dyDescent="0.25"/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="3" customFormat="1" x14ac:dyDescent="0.25"/>
    <row r="898" s="3" customFormat="1" x14ac:dyDescent="0.25"/>
    <row r="899" s="3" customFormat="1" x14ac:dyDescent="0.25"/>
    <row r="900" s="3" customFormat="1" x14ac:dyDescent="0.25"/>
    <row r="901" s="3" customFormat="1" x14ac:dyDescent="0.25"/>
    <row r="902" s="3" customFormat="1" x14ac:dyDescent="0.25"/>
    <row r="903" s="3" customFormat="1" x14ac:dyDescent="0.25"/>
    <row r="904" s="3" customFormat="1" x14ac:dyDescent="0.25"/>
    <row r="905" s="3" customFormat="1" x14ac:dyDescent="0.25"/>
    <row r="906" s="3" customFormat="1" x14ac:dyDescent="0.25"/>
    <row r="907" s="3" customFormat="1" x14ac:dyDescent="0.25"/>
    <row r="908" s="3" customFormat="1" x14ac:dyDescent="0.25"/>
    <row r="909" s="3" customFormat="1" x14ac:dyDescent="0.25"/>
    <row r="910" s="3" customFormat="1" x14ac:dyDescent="0.25"/>
    <row r="911" s="3" customFormat="1" x14ac:dyDescent="0.25"/>
    <row r="912" s="3" customFormat="1" x14ac:dyDescent="0.25"/>
    <row r="913" s="3" customFormat="1" x14ac:dyDescent="0.25"/>
    <row r="914" s="3" customFormat="1" x14ac:dyDescent="0.25"/>
    <row r="915" s="3" customFormat="1" x14ac:dyDescent="0.25"/>
    <row r="916" s="3" customFormat="1" x14ac:dyDescent="0.25"/>
    <row r="917" s="3" customFormat="1" x14ac:dyDescent="0.25"/>
    <row r="918" s="3" customFormat="1" x14ac:dyDescent="0.25"/>
    <row r="919" s="3" customFormat="1" x14ac:dyDescent="0.25"/>
    <row r="920" s="3" customFormat="1" x14ac:dyDescent="0.25"/>
    <row r="921" s="3" customFormat="1" x14ac:dyDescent="0.25"/>
    <row r="922" s="3" customFormat="1" x14ac:dyDescent="0.25"/>
    <row r="923" s="3" customFormat="1" x14ac:dyDescent="0.25"/>
    <row r="924" s="3" customFormat="1" x14ac:dyDescent="0.25"/>
    <row r="925" s="3" customFormat="1" x14ac:dyDescent="0.25"/>
    <row r="926" s="3" customFormat="1" x14ac:dyDescent="0.25"/>
    <row r="927" s="3" customFormat="1" x14ac:dyDescent="0.25"/>
    <row r="928" s="3" customFormat="1" x14ac:dyDescent="0.25"/>
    <row r="929" s="3" customFormat="1" x14ac:dyDescent="0.25"/>
    <row r="930" s="3" customFormat="1" x14ac:dyDescent="0.25"/>
    <row r="931" s="3" customFormat="1" x14ac:dyDescent="0.25"/>
    <row r="932" s="3" customFormat="1" x14ac:dyDescent="0.25"/>
    <row r="933" s="3" customFormat="1" x14ac:dyDescent="0.25"/>
    <row r="934" s="3" customFormat="1" x14ac:dyDescent="0.25"/>
    <row r="935" s="3" customFormat="1" x14ac:dyDescent="0.25"/>
    <row r="936" s="3" customFormat="1" x14ac:dyDescent="0.25"/>
    <row r="937" s="3" customFormat="1" x14ac:dyDescent="0.25"/>
    <row r="938" s="3" customFormat="1" x14ac:dyDescent="0.25"/>
    <row r="939" s="3" customFormat="1" x14ac:dyDescent="0.25"/>
    <row r="940" s="3" customFormat="1" x14ac:dyDescent="0.25"/>
    <row r="941" s="3" customFormat="1" x14ac:dyDescent="0.25"/>
    <row r="942" s="3" customFormat="1" x14ac:dyDescent="0.25"/>
    <row r="943" s="3" customFormat="1" x14ac:dyDescent="0.25"/>
    <row r="944" s="3" customFormat="1" x14ac:dyDescent="0.25"/>
    <row r="945" s="3" customFormat="1" x14ac:dyDescent="0.25"/>
    <row r="946" s="3" customFormat="1" x14ac:dyDescent="0.25"/>
    <row r="947" s="3" customFormat="1" x14ac:dyDescent="0.25"/>
    <row r="948" s="3" customFormat="1" x14ac:dyDescent="0.25"/>
    <row r="949" s="3" customFormat="1" x14ac:dyDescent="0.25"/>
    <row r="950" s="3" customFormat="1" x14ac:dyDescent="0.25"/>
    <row r="951" s="3" customFormat="1" x14ac:dyDescent="0.25"/>
    <row r="952" s="3" customFormat="1" x14ac:dyDescent="0.25"/>
    <row r="953" s="3" customFormat="1" x14ac:dyDescent="0.25"/>
    <row r="954" s="3" customFormat="1" x14ac:dyDescent="0.25"/>
    <row r="955" s="3" customFormat="1" x14ac:dyDescent="0.25"/>
    <row r="956" s="3" customFormat="1" x14ac:dyDescent="0.25"/>
    <row r="957" s="3" customFormat="1" x14ac:dyDescent="0.25"/>
    <row r="958" s="3" customFormat="1" x14ac:dyDescent="0.25"/>
    <row r="959" s="3" customFormat="1" x14ac:dyDescent="0.25"/>
    <row r="960" s="3" customFormat="1" x14ac:dyDescent="0.25"/>
    <row r="961" s="3" customFormat="1" x14ac:dyDescent="0.25"/>
    <row r="962" s="3" customFormat="1" x14ac:dyDescent="0.25"/>
    <row r="963" s="3" customFormat="1" x14ac:dyDescent="0.25"/>
    <row r="964" s="3" customFormat="1" x14ac:dyDescent="0.25"/>
    <row r="965" s="3" customFormat="1" x14ac:dyDescent="0.25"/>
    <row r="966" s="3" customFormat="1" x14ac:dyDescent="0.25"/>
    <row r="967" s="3" customFormat="1" x14ac:dyDescent="0.25"/>
    <row r="968" s="3" customFormat="1" x14ac:dyDescent="0.25"/>
    <row r="969" s="3" customFormat="1" x14ac:dyDescent="0.25"/>
    <row r="970" s="3" customFormat="1" x14ac:dyDescent="0.25"/>
    <row r="971" s="3" customFormat="1" x14ac:dyDescent="0.25"/>
    <row r="972" s="3" customFormat="1" x14ac:dyDescent="0.25"/>
    <row r="973" s="3" customFormat="1" x14ac:dyDescent="0.25"/>
    <row r="974" s="3" customFormat="1" x14ac:dyDescent="0.25"/>
    <row r="975" s="3" customFormat="1" x14ac:dyDescent="0.25"/>
    <row r="976" s="3" customFormat="1" x14ac:dyDescent="0.25"/>
    <row r="977" s="3" customFormat="1" x14ac:dyDescent="0.25"/>
    <row r="978" s="3" customFormat="1" x14ac:dyDescent="0.25"/>
    <row r="979" s="3" customFormat="1" x14ac:dyDescent="0.25"/>
    <row r="980" s="3" customFormat="1" x14ac:dyDescent="0.25"/>
    <row r="981" s="3" customFormat="1" x14ac:dyDescent="0.25"/>
    <row r="982" s="3" customFormat="1" x14ac:dyDescent="0.25"/>
    <row r="983" s="3" customFormat="1" x14ac:dyDescent="0.25"/>
    <row r="984" s="3" customFormat="1" x14ac:dyDescent="0.25"/>
    <row r="985" s="3" customFormat="1" x14ac:dyDescent="0.25"/>
    <row r="986" s="3" customFormat="1" x14ac:dyDescent="0.25"/>
    <row r="987" s="3" customFormat="1" x14ac:dyDescent="0.25"/>
    <row r="988" s="3" customFormat="1" x14ac:dyDescent="0.25"/>
    <row r="989" s="3" customFormat="1" x14ac:dyDescent="0.25"/>
    <row r="990" s="3" customFormat="1" x14ac:dyDescent="0.25"/>
    <row r="991" s="3" customFormat="1" x14ac:dyDescent="0.25"/>
    <row r="992" s="3" customFormat="1" x14ac:dyDescent="0.25"/>
    <row r="993" s="3" customFormat="1" x14ac:dyDescent="0.25"/>
    <row r="994" s="3" customFormat="1" x14ac:dyDescent="0.25"/>
    <row r="995" s="3" customFormat="1" x14ac:dyDescent="0.25"/>
    <row r="996" s="3" customFormat="1" x14ac:dyDescent="0.25"/>
    <row r="997" s="3" customFormat="1" x14ac:dyDescent="0.25"/>
    <row r="998" s="3" customFormat="1" x14ac:dyDescent="0.25"/>
    <row r="999" s="3" customFormat="1" x14ac:dyDescent="0.25"/>
    <row r="1000" s="3" customFormat="1" x14ac:dyDescent="0.25"/>
    <row r="1001" s="3" customFormat="1" x14ac:dyDescent="0.25"/>
    <row r="1002" s="3" customFormat="1" x14ac:dyDescent="0.25"/>
    <row r="1003" s="3" customFormat="1" x14ac:dyDescent="0.25"/>
    <row r="1004" s="3" customFormat="1" x14ac:dyDescent="0.25"/>
    <row r="1005" s="3" customFormat="1" x14ac:dyDescent="0.25"/>
    <row r="1006" s="3" customFormat="1" x14ac:dyDescent="0.25"/>
    <row r="1007" s="3" customFormat="1" x14ac:dyDescent="0.25"/>
    <row r="1008" s="3" customFormat="1" x14ac:dyDescent="0.25"/>
    <row r="1009" s="3" customFormat="1" x14ac:dyDescent="0.25"/>
    <row r="1010" s="3" customFormat="1" x14ac:dyDescent="0.25"/>
    <row r="1011" s="3" customFormat="1" x14ac:dyDescent="0.25"/>
    <row r="1012" s="3" customFormat="1" x14ac:dyDescent="0.25"/>
    <row r="1013" s="3" customFormat="1" x14ac:dyDescent="0.25"/>
    <row r="1014" s="3" customFormat="1" x14ac:dyDescent="0.25"/>
    <row r="1015" s="3" customFormat="1" x14ac:dyDescent="0.25"/>
    <row r="1016" s="3" customFormat="1" x14ac:dyDescent="0.25"/>
    <row r="1017" s="3" customFormat="1" x14ac:dyDescent="0.25"/>
    <row r="1018" s="3" customFormat="1" x14ac:dyDescent="0.25"/>
    <row r="1019" s="3" customFormat="1" x14ac:dyDescent="0.25"/>
    <row r="1020" s="3" customFormat="1" x14ac:dyDescent="0.25"/>
    <row r="1021" s="3" customFormat="1" x14ac:dyDescent="0.25"/>
    <row r="1022" s="3" customFormat="1" x14ac:dyDescent="0.25"/>
    <row r="1023" s="3" customFormat="1" x14ac:dyDescent="0.25"/>
    <row r="1024" s="3" customFormat="1" x14ac:dyDescent="0.25"/>
    <row r="1025" s="3" customFormat="1" x14ac:dyDescent="0.25"/>
    <row r="1026" s="3" customFormat="1" x14ac:dyDescent="0.25"/>
    <row r="1027" s="3" customFormat="1" x14ac:dyDescent="0.25"/>
    <row r="1028" s="3" customFormat="1" x14ac:dyDescent="0.25"/>
    <row r="1029" s="3" customFormat="1" x14ac:dyDescent="0.25"/>
    <row r="1030" s="3" customFormat="1" x14ac:dyDescent="0.25"/>
    <row r="1031" s="3" customFormat="1" x14ac:dyDescent="0.25"/>
    <row r="1032" s="3" customFormat="1" x14ac:dyDescent="0.25"/>
    <row r="1033" s="3" customFormat="1" x14ac:dyDescent="0.25"/>
    <row r="1034" s="3" customFormat="1" x14ac:dyDescent="0.25"/>
    <row r="1035" s="3" customFormat="1" x14ac:dyDescent="0.25"/>
    <row r="1036" s="3" customFormat="1" x14ac:dyDescent="0.25"/>
    <row r="1037" s="3" customFormat="1" x14ac:dyDescent="0.25"/>
    <row r="1038" s="3" customFormat="1" x14ac:dyDescent="0.25"/>
    <row r="1039" s="3" customFormat="1" x14ac:dyDescent="0.25"/>
    <row r="1040" s="3" customFormat="1" x14ac:dyDescent="0.25"/>
    <row r="1041" s="3" customFormat="1" x14ac:dyDescent="0.25"/>
    <row r="1042" s="3" customFormat="1" x14ac:dyDescent="0.25"/>
    <row r="1043" s="3" customFormat="1" x14ac:dyDescent="0.25"/>
    <row r="1044" s="3" customFormat="1" x14ac:dyDescent="0.25"/>
    <row r="1045" s="3" customFormat="1" x14ac:dyDescent="0.25"/>
    <row r="1046" s="3" customFormat="1" x14ac:dyDescent="0.25"/>
    <row r="1047" s="3" customFormat="1" x14ac:dyDescent="0.25"/>
    <row r="1048" s="3" customFormat="1" x14ac:dyDescent="0.25"/>
    <row r="1049" s="3" customFormat="1" x14ac:dyDescent="0.25"/>
    <row r="1050" s="3" customFormat="1" x14ac:dyDescent="0.25"/>
    <row r="1051" s="3" customFormat="1" x14ac:dyDescent="0.25"/>
    <row r="1052" s="3" customFormat="1" x14ac:dyDescent="0.25"/>
    <row r="1053" s="3" customFormat="1" x14ac:dyDescent="0.25"/>
    <row r="1054" s="3" customFormat="1" x14ac:dyDescent="0.25"/>
    <row r="1055" s="3" customFormat="1" x14ac:dyDescent="0.25"/>
    <row r="1056" s="3" customFormat="1" x14ac:dyDescent="0.25"/>
    <row r="1057" s="3" customFormat="1" x14ac:dyDescent="0.25"/>
    <row r="1058" s="3" customFormat="1" x14ac:dyDescent="0.25"/>
    <row r="1059" s="3" customFormat="1" x14ac:dyDescent="0.25"/>
    <row r="1060" s="3" customFormat="1" x14ac:dyDescent="0.25"/>
    <row r="1061" s="3" customFormat="1" x14ac:dyDescent="0.25"/>
    <row r="1062" s="3" customFormat="1" x14ac:dyDescent="0.25"/>
    <row r="1063" s="3" customFormat="1" x14ac:dyDescent="0.25"/>
    <row r="1064" s="3" customFormat="1" x14ac:dyDescent="0.25"/>
    <row r="1065" s="3" customFormat="1" x14ac:dyDescent="0.25"/>
    <row r="1066" s="3" customFormat="1" x14ac:dyDescent="0.25"/>
    <row r="1067" s="3" customFormat="1" x14ac:dyDescent="0.25"/>
    <row r="1068" s="3" customFormat="1" x14ac:dyDescent="0.25"/>
    <row r="1069" s="3" customFormat="1" x14ac:dyDescent="0.25"/>
    <row r="1070" s="3" customFormat="1" x14ac:dyDescent="0.25"/>
    <row r="1071" s="3" customFormat="1" x14ac:dyDescent="0.25"/>
    <row r="1072" s="3" customFormat="1" x14ac:dyDescent="0.25"/>
    <row r="1073" s="3" customFormat="1" x14ac:dyDescent="0.25"/>
    <row r="1074" s="3" customFormat="1" x14ac:dyDescent="0.25"/>
    <row r="1075" s="3" customFormat="1" x14ac:dyDescent="0.25"/>
    <row r="1076" s="3" customFormat="1" x14ac:dyDescent="0.25"/>
    <row r="1077" s="3" customFormat="1" x14ac:dyDescent="0.25"/>
    <row r="1078" s="3" customFormat="1" x14ac:dyDescent="0.25"/>
    <row r="1079" s="3" customFormat="1" x14ac:dyDescent="0.25"/>
    <row r="1080" s="3" customFormat="1" x14ac:dyDescent="0.25"/>
    <row r="1081" s="3" customFormat="1" x14ac:dyDescent="0.25"/>
    <row r="1082" s="3" customFormat="1" x14ac:dyDescent="0.25"/>
    <row r="1083" s="3" customFormat="1" x14ac:dyDescent="0.25"/>
    <row r="1084" s="3" customFormat="1" x14ac:dyDescent="0.25"/>
    <row r="1085" s="3" customFormat="1" x14ac:dyDescent="0.25"/>
    <row r="1086" s="3" customFormat="1" x14ac:dyDescent="0.25"/>
    <row r="1087" s="3" customFormat="1" x14ac:dyDescent="0.25"/>
    <row r="1088" s="3" customFormat="1" x14ac:dyDescent="0.25"/>
    <row r="1089" s="3" customFormat="1" x14ac:dyDescent="0.25"/>
    <row r="1090" s="3" customFormat="1" x14ac:dyDescent="0.25"/>
    <row r="1091" s="3" customFormat="1" x14ac:dyDescent="0.25"/>
    <row r="1092" s="3" customFormat="1" x14ac:dyDescent="0.25"/>
    <row r="1093" s="3" customFormat="1" x14ac:dyDescent="0.25"/>
    <row r="1094" s="3" customFormat="1" x14ac:dyDescent="0.25"/>
    <row r="1095" s="3" customFormat="1" x14ac:dyDescent="0.25"/>
    <row r="1096" s="3" customFormat="1" x14ac:dyDescent="0.25"/>
    <row r="1097" s="3" customFormat="1" x14ac:dyDescent="0.25"/>
    <row r="1098" s="3" customFormat="1" x14ac:dyDescent="0.25"/>
    <row r="1099" s="3" customFormat="1" x14ac:dyDescent="0.25"/>
    <row r="1100" s="3" customFormat="1" x14ac:dyDescent="0.25"/>
    <row r="1101" s="3" customFormat="1" x14ac:dyDescent="0.25"/>
    <row r="1102" s="3" customFormat="1" x14ac:dyDescent="0.25"/>
    <row r="1103" s="3" customFormat="1" x14ac:dyDescent="0.25"/>
    <row r="1104" s="3" customFormat="1" x14ac:dyDescent="0.25"/>
    <row r="1105" s="3" customFormat="1" x14ac:dyDescent="0.25"/>
    <row r="1106" s="3" customFormat="1" x14ac:dyDescent="0.25"/>
    <row r="1107" s="3" customFormat="1" x14ac:dyDescent="0.25"/>
    <row r="1108" s="3" customFormat="1" x14ac:dyDescent="0.25"/>
    <row r="1109" s="3" customFormat="1" x14ac:dyDescent="0.25"/>
    <row r="1110" s="3" customFormat="1" x14ac:dyDescent="0.25"/>
    <row r="1111" s="3" customFormat="1" x14ac:dyDescent="0.25"/>
    <row r="1112" s="3" customFormat="1" x14ac:dyDescent="0.25"/>
    <row r="1113" s="3" customFormat="1" x14ac:dyDescent="0.25"/>
    <row r="1114" s="3" customFormat="1" x14ac:dyDescent="0.25"/>
    <row r="1115" s="3" customFormat="1" x14ac:dyDescent="0.25"/>
    <row r="1116" s="3" customFormat="1" x14ac:dyDescent="0.25"/>
    <row r="1117" s="3" customFormat="1" x14ac:dyDescent="0.25"/>
    <row r="1118" s="3" customFormat="1" x14ac:dyDescent="0.25"/>
    <row r="1119" s="3" customFormat="1" x14ac:dyDescent="0.25"/>
    <row r="1120" s="3" customFormat="1" x14ac:dyDescent="0.25"/>
    <row r="1121" s="3" customFormat="1" x14ac:dyDescent="0.25"/>
    <row r="1122" s="3" customFormat="1" x14ac:dyDescent="0.25"/>
    <row r="1123" s="3" customFormat="1" x14ac:dyDescent="0.25"/>
    <row r="1124" s="3" customFormat="1" x14ac:dyDescent="0.25"/>
    <row r="1125" s="3" customFormat="1" x14ac:dyDescent="0.25"/>
    <row r="1126" s="3" customFormat="1" x14ac:dyDescent="0.25"/>
    <row r="1127" s="3" customFormat="1" x14ac:dyDescent="0.25"/>
    <row r="1128" s="3" customFormat="1" x14ac:dyDescent="0.25"/>
    <row r="1129" s="3" customFormat="1" x14ac:dyDescent="0.25"/>
    <row r="1130" s="3" customFormat="1" x14ac:dyDescent="0.25"/>
    <row r="1131" s="3" customFormat="1" x14ac:dyDescent="0.25"/>
    <row r="1132" s="3" customFormat="1" x14ac:dyDescent="0.25"/>
    <row r="1133" s="3" customFormat="1" x14ac:dyDescent="0.25"/>
    <row r="1134" s="3" customFormat="1" x14ac:dyDescent="0.25"/>
    <row r="1135" s="3" customFormat="1" x14ac:dyDescent="0.25"/>
    <row r="1136" s="3" customFormat="1" x14ac:dyDescent="0.25"/>
    <row r="1137" s="3" customFormat="1" x14ac:dyDescent="0.25"/>
    <row r="1138" s="3" customFormat="1" x14ac:dyDescent="0.25"/>
    <row r="1139" s="3" customFormat="1" x14ac:dyDescent="0.25"/>
    <row r="1140" s="3" customFormat="1" x14ac:dyDescent="0.25"/>
    <row r="1141" s="3" customFormat="1" x14ac:dyDescent="0.25"/>
    <row r="1142" s="3" customFormat="1" x14ac:dyDescent="0.25"/>
    <row r="1143" s="3" customFormat="1" x14ac:dyDescent="0.25"/>
    <row r="1144" s="3" customFormat="1" x14ac:dyDescent="0.25"/>
    <row r="1145" s="3" customFormat="1" x14ac:dyDescent="0.25"/>
    <row r="1146" s="3" customFormat="1" x14ac:dyDescent="0.25"/>
    <row r="1147" s="3" customFormat="1" x14ac:dyDescent="0.25"/>
    <row r="1148" s="3" customFormat="1" x14ac:dyDescent="0.25"/>
    <row r="1149" s="3" customFormat="1" x14ac:dyDescent="0.25"/>
    <row r="1150" s="3" customFormat="1" x14ac:dyDescent="0.25"/>
    <row r="1151" s="3" customFormat="1" x14ac:dyDescent="0.25"/>
    <row r="1152" s="3" customFormat="1" x14ac:dyDescent="0.25"/>
    <row r="1153" s="3" customFormat="1" x14ac:dyDescent="0.25"/>
    <row r="1154" s="3" customFormat="1" x14ac:dyDescent="0.25"/>
    <row r="1155" s="3" customFormat="1" x14ac:dyDescent="0.25"/>
    <row r="1156" s="3" customFormat="1" x14ac:dyDescent="0.25"/>
    <row r="1157" s="3" customFormat="1" x14ac:dyDescent="0.25"/>
    <row r="1158" s="3" customFormat="1" x14ac:dyDescent="0.25"/>
    <row r="1159" s="3" customFormat="1" x14ac:dyDescent="0.25"/>
    <row r="1160" s="3" customFormat="1" x14ac:dyDescent="0.25"/>
    <row r="1161" s="3" customFormat="1" x14ac:dyDescent="0.25"/>
    <row r="1162" s="3" customFormat="1" x14ac:dyDescent="0.25"/>
    <row r="1163" s="3" customFormat="1" x14ac:dyDescent="0.25"/>
    <row r="1164" s="3" customFormat="1" x14ac:dyDescent="0.25"/>
    <row r="1165" s="3" customFormat="1" x14ac:dyDescent="0.25"/>
    <row r="1166" s="3" customFormat="1" x14ac:dyDescent="0.25"/>
    <row r="1167" s="3" customFormat="1" x14ac:dyDescent="0.25"/>
    <row r="1168" s="3" customFormat="1" x14ac:dyDescent="0.25"/>
    <row r="1169" s="3" customFormat="1" x14ac:dyDescent="0.25"/>
    <row r="1170" s="3" customFormat="1" x14ac:dyDescent="0.25"/>
    <row r="1171" s="3" customFormat="1" x14ac:dyDescent="0.25"/>
    <row r="1172" s="3" customFormat="1" x14ac:dyDescent="0.25"/>
    <row r="1173" s="3" customFormat="1" x14ac:dyDescent="0.25"/>
    <row r="1174" s="3" customFormat="1" x14ac:dyDescent="0.25"/>
    <row r="1175" s="3" customFormat="1" x14ac:dyDescent="0.25"/>
    <row r="1176" s="3" customFormat="1" x14ac:dyDescent="0.25"/>
    <row r="1177" s="3" customFormat="1" x14ac:dyDescent="0.25"/>
    <row r="1178" s="3" customFormat="1" x14ac:dyDescent="0.25"/>
    <row r="1179" s="3" customFormat="1" x14ac:dyDescent="0.25"/>
    <row r="1180" s="3" customFormat="1" x14ac:dyDescent="0.25"/>
    <row r="1181" s="3" customFormat="1" x14ac:dyDescent="0.25"/>
    <row r="1182" s="3" customFormat="1" x14ac:dyDescent="0.25"/>
    <row r="1183" s="3" customFormat="1" x14ac:dyDescent="0.25"/>
    <row r="1184" s="3" customFormat="1" x14ac:dyDescent="0.25"/>
    <row r="1185" s="3" customFormat="1" x14ac:dyDescent="0.25"/>
    <row r="1186" s="3" customFormat="1" x14ac:dyDescent="0.25"/>
    <row r="1187" s="3" customFormat="1" x14ac:dyDescent="0.25"/>
    <row r="1188" s="3" customFormat="1" x14ac:dyDescent="0.25"/>
    <row r="1189" s="3" customFormat="1" x14ac:dyDescent="0.25"/>
    <row r="1190" s="3" customFormat="1" x14ac:dyDescent="0.25"/>
    <row r="1191" s="3" customFormat="1" x14ac:dyDescent="0.25"/>
    <row r="1192" s="3" customFormat="1" x14ac:dyDescent="0.25"/>
    <row r="1193" s="3" customFormat="1" x14ac:dyDescent="0.25"/>
    <row r="1194" s="3" customFormat="1" x14ac:dyDescent="0.25"/>
    <row r="1195" s="3" customFormat="1" x14ac:dyDescent="0.25"/>
    <row r="1196" s="3" customFormat="1" x14ac:dyDescent="0.25"/>
    <row r="1197" s="3" customFormat="1" x14ac:dyDescent="0.25"/>
    <row r="1198" s="3" customFormat="1" x14ac:dyDescent="0.25"/>
    <row r="1199" s="3" customFormat="1" x14ac:dyDescent="0.25"/>
    <row r="1200" s="3" customFormat="1" x14ac:dyDescent="0.25"/>
    <row r="1201" s="3" customFormat="1" x14ac:dyDescent="0.25"/>
    <row r="1202" s="3" customFormat="1" x14ac:dyDescent="0.25"/>
    <row r="1203" s="3" customFormat="1" x14ac:dyDescent="0.25"/>
    <row r="1204" s="3" customFormat="1" x14ac:dyDescent="0.25"/>
    <row r="1205" s="3" customFormat="1" x14ac:dyDescent="0.25"/>
    <row r="1206" s="3" customFormat="1" x14ac:dyDescent="0.25"/>
    <row r="1207" s="3" customFormat="1" x14ac:dyDescent="0.25"/>
    <row r="1208" s="3" customFormat="1" x14ac:dyDescent="0.25"/>
    <row r="1209" s="3" customFormat="1" x14ac:dyDescent="0.25"/>
    <row r="1210" s="3" customFormat="1" x14ac:dyDescent="0.25"/>
    <row r="1211" s="3" customFormat="1" x14ac:dyDescent="0.25"/>
    <row r="1212" s="3" customFormat="1" x14ac:dyDescent="0.25"/>
    <row r="1213" s="3" customFormat="1" x14ac:dyDescent="0.25"/>
    <row r="1214" s="3" customFormat="1" x14ac:dyDescent="0.25"/>
    <row r="1215" s="3" customFormat="1" x14ac:dyDescent="0.25"/>
    <row r="1216" s="3" customFormat="1" x14ac:dyDescent="0.25"/>
    <row r="1217" s="3" customFormat="1" x14ac:dyDescent="0.25"/>
    <row r="1218" s="3" customFormat="1" x14ac:dyDescent="0.25"/>
    <row r="1219" s="3" customFormat="1" x14ac:dyDescent="0.25"/>
    <row r="1220" s="3" customFormat="1" x14ac:dyDescent="0.25"/>
    <row r="1221" s="3" customFormat="1" x14ac:dyDescent="0.25"/>
    <row r="1222" s="3" customFormat="1" x14ac:dyDescent="0.25"/>
    <row r="1223" s="3" customFormat="1" x14ac:dyDescent="0.25"/>
    <row r="1224" s="3" customFormat="1" x14ac:dyDescent="0.25"/>
    <row r="1225" s="3" customFormat="1" x14ac:dyDescent="0.25"/>
    <row r="1226" s="3" customFormat="1" x14ac:dyDescent="0.25"/>
    <row r="1227" s="3" customFormat="1" x14ac:dyDescent="0.25"/>
    <row r="1228" s="3" customFormat="1" x14ac:dyDescent="0.25"/>
    <row r="1229" s="3" customFormat="1" x14ac:dyDescent="0.25"/>
    <row r="1230" s="3" customFormat="1" x14ac:dyDescent="0.25"/>
    <row r="1231" s="3" customFormat="1" x14ac:dyDescent="0.25"/>
    <row r="1232" s="3" customFormat="1" x14ac:dyDescent="0.25"/>
    <row r="1233" s="3" customFormat="1" x14ac:dyDescent="0.25"/>
    <row r="1234" s="3" customFormat="1" x14ac:dyDescent="0.25"/>
    <row r="1235" s="3" customFormat="1" x14ac:dyDescent="0.25"/>
    <row r="1236" s="3" customFormat="1" x14ac:dyDescent="0.25"/>
    <row r="1237" s="3" customFormat="1" x14ac:dyDescent="0.25"/>
    <row r="1238" s="3" customFormat="1" x14ac:dyDescent="0.25"/>
    <row r="1239" s="3" customFormat="1" x14ac:dyDescent="0.25"/>
    <row r="1240" s="3" customFormat="1" x14ac:dyDescent="0.25"/>
    <row r="1241" s="3" customFormat="1" x14ac:dyDescent="0.25"/>
    <row r="1242" s="3" customFormat="1" x14ac:dyDescent="0.25"/>
    <row r="1243" s="3" customFormat="1" x14ac:dyDescent="0.25"/>
    <row r="1244" s="3" customFormat="1" x14ac:dyDescent="0.25"/>
    <row r="1245" s="3" customFormat="1" x14ac:dyDescent="0.25"/>
    <row r="1246" s="3" customFormat="1" x14ac:dyDescent="0.25"/>
    <row r="1247" s="3" customFormat="1" x14ac:dyDescent="0.25"/>
    <row r="1248" s="3" customFormat="1" x14ac:dyDescent="0.25"/>
    <row r="1249" s="3" customFormat="1" x14ac:dyDescent="0.25"/>
    <row r="1250" s="3" customFormat="1" x14ac:dyDescent="0.25"/>
    <row r="1251" s="3" customFormat="1" x14ac:dyDescent="0.25"/>
    <row r="1252" s="3" customFormat="1" x14ac:dyDescent="0.25"/>
    <row r="1253" s="3" customFormat="1" x14ac:dyDescent="0.25"/>
    <row r="1254" s="3" customFormat="1" x14ac:dyDescent="0.25"/>
    <row r="1255" s="3" customFormat="1" x14ac:dyDescent="0.25"/>
    <row r="1256" s="3" customFormat="1" x14ac:dyDescent="0.25"/>
    <row r="1257" s="3" customFormat="1" x14ac:dyDescent="0.25"/>
    <row r="1258" s="3" customFormat="1" x14ac:dyDescent="0.25"/>
    <row r="1259" s="3" customFormat="1" x14ac:dyDescent="0.25"/>
    <row r="1260" s="3" customFormat="1" x14ac:dyDescent="0.25"/>
    <row r="1261" s="3" customFormat="1" x14ac:dyDescent="0.25"/>
    <row r="1262" s="3" customFormat="1" x14ac:dyDescent="0.25"/>
    <row r="1263" s="3" customFormat="1" x14ac:dyDescent="0.25"/>
    <row r="1264" s="3" customFormat="1" x14ac:dyDescent="0.25"/>
    <row r="1265" s="3" customFormat="1" x14ac:dyDescent="0.25"/>
    <row r="1266" s="3" customFormat="1" x14ac:dyDescent="0.25"/>
    <row r="1267" s="3" customFormat="1" x14ac:dyDescent="0.25"/>
    <row r="1268" s="3" customFormat="1" x14ac:dyDescent="0.25"/>
    <row r="1269" s="3" customFormat="1" x14ac:dyDescent="0.25"/>
    <row r="1270" s="3" customFormat="1" x14ac:dyDescent="0.25"/>
    <row r="1271" s="3" customFormat="1" x14ac:dyDescent="0.25"/>
    <row r="1272" s="3" customFormat="1" x14ac:dyDescent="0.25"/>
    <row r="1273" s="3" customFormat="1" x14ac:dyDescent="0.25"/>
    <row r="1274" s="3" customFormat="1" x14ac:dyDescent="0.25"/>
    <row r="1275" s="3" customFormat="1" x14ac:dyDescent="0.25"/>
    <row r="1276" s="3" customFormat="1" x14ac:dyDescent="0.25"/>
    <row r="1277" s="3" customFormat="1" x14ac:dyDescent="0.25"/>
    <row r="1278" s="3" customFormat="1" x14ac:dyDescent="0.25"/>
    <row r="1279" s="3" customFormat="1" x14ac:dyDescent="0.25"/>
    <row r="1280" s="3" customFormat="1" x14ac:dyDescent="0.25"/>
    <row r="1281" s="3" customFormat="1" x14ac:dyDescent="0.25"/>
    <row r="1282" s="3" customFormat="1" x14ac:dyDescent="0.25"/>
    <row r="1283" s="3" customFormat="1" x14ac:dyDescent="0.25"/>
    <row r="1284" s="3" customFormat="1" x14ac:dyDescent="0.25"/>
    <row r="1285" s="3" customFormat="1" x14ac:dyDescent="0.25"/>
    <row r="1286" s="3" customFormat="1" x14ac:dyDescent="0.25"/>
    <row r="1287" s="3" customFormat="1" x14ac:dyDescent="0.25"/>
    <row r="1288" s="3" customFormat="1" x14ac:dyDescent="0.25"/>
    <row r="1289" s="3" customFormat="1" x14ac:dyDescent="0.25"/>
    <row r="1290" s="3" customFormat="1" x14ac:dyDescent="0.25"/>
    <row r="1291" s="3" customFormat="1" x14ac:dyDescent="0.25"/>
    <row r="1292" s="3" customFormat="1" x14ac:dyDescent="0.25"/>
    <row r="1293" s="3" customFormat="1" x14ac:dyDescent="0.25"/>
    <row r="1294" s="3" customFormat="1" x14ac:dyDescent="0.25"/>
    <row r="1295" s="3" customFormat="1" x14ac:dyDescent="0.25"/>
    <row r="1296" s="3" customFormat="1" x14ac:dyDescent="0.25"/>
    <row r="1297" s="3" customFormat="1" x14ac:dyDescent="0.25"/>
    <row r="1298" s="3" customFormat="1" x14ac:dyDescent="0.25"/>
    <row r="1299" s="3" customFormat="1" x14ac:dyDescent="0.25"/>
    <row r="1300" s="3" customFormat="1" x14ac:dyDescent="0.25"/>
    <row r="1301" s="3" customFormat="1" x14ac:dyDescent="0.25"/>
    <row r="1302" s="3" customFormat="1" x14ac:dyDescent="0.25"/>
    <row r="1303" s="3" customFormat="1" x14ac:dyDescent="0.25"/>
    <row r="1304" s="3" customFormat="1" x14ac:dyDescent="0.25"/>
    <row r="1305" s="3" customFormat="1" x14ac:dyDescent="0.25"/>
    <row r="1306" s="3" customFormat="1" x14ac:dyDescent="0.25"/>
    <row r="1307" s="3" customFormat="1" x14ac:dyDescent="0.25"/>
    <row r="1308" s="3" customFormat="1" x14ac:dyDescent="0.25"/>
    <row r="1309" s="3" customFormat="1" x14ac:dyDescent="0.25"/>
    <row r="1310" s="3" customFormat="1" x14ac:dyDescent="0.25"/>
    <row r="1311" s="3" customFormat="1" x14ac:dyDescent="0.25"/>
    <row r="1312" s="3" customFormat="1" x14ac:dyDescent="0.25"/>
    <row r="1313" s="3" customFormat="1" x14ac:dyDescent="0.25"/>
    <row r="1314" s="3" customFormat="1" x14ac:dyDescent="0.25"/>
    <row r="1315" s="3" customFormat="1" x14ac:dyDescent="0.25"/>
    <row r="1316" s="3" customFormat="1" x14ac:dyDescent="0.25"/>
    <row r="1317" s="3" customFormat="1" x14ac:dyDescent="0.25"/>
    <row r="1318" s="3" customFormat="1" x14ac:dyDescent="0.25"/>
    <row r="1319" s="3" customFormat="1" x14ac:dyDescent="0.25"/>
    <row r="1320" s="3" customFormat="1" x14ac:dyDescent="0.25"/>
    <row r="1321" s="3" customFormat="1" x14ac:dyDescent="0.25"/>
    <row r="1322" s="3" customFormat="1" x14ac:dyDescent="0.25"/>
    <row r="1323" s="3" customFormat="1" x14ac:dyDescent="0.25"/>
    <row r="1324" s="3" customFormat="1" x14ac:dyDescent="0.25"/>
    <row r="1325" s="3" customFormat="1" x14ac:dyDescent="0.25"/>
    <row r="1326" s="3" customFormat="1" x14ac:dyDescent="0.25"/>
    <row r="1327" s="3" customFormat="1" x14ac:dyDescent="0.25"/>
    <row r="1328" s="3" customFormat="1" x14ac:dyDescent="0.25"/>
    <row r="1329" s="3" customFormat="1" x14ac:dyDescent="0.25"/>
    <row r="1330" s="3" customFormat="1" x14ac:dyDescent="0.25"/>
    <row r="1331" s="3" customFormat="1" x14ac:dyDescent="0.25"/>
    <row r="1332" s="3" customFormat="1" x14ac:dyDescent="0.25"/>
    <row r="1333" s="3" customFormat="1" x14ac:dyDescent="0.25"/>
    <row r="1334" s="3" customFormat="1" x14ac:dyDescent="0.25"/>
    <row r="1335" s="3" customFormat="1" x14ac:dyDescent="0.25"/>
    <row r="1336" s="3" customFormat="1" x14ac:dyDescent="0.25"/>
    <row r="1337" s="3" customFormat="1" x14ac:dyDescent="0.25"/>
    <row r="1338" s="3" customFormat="1" x14ac:dyDescent="0.25"/>
    <row r="1339" s="3" customFormat="1" x14ac:dyDescent="0.25"/>
    <row r="1340" s="3" customFormat="1" x14ac:dyDescent="0.25"/>
    <row r="1341" s="3" customFormat="1" x14ac:dyDescent="0.25"/>
    <row r="1342" s="3" customFormat="1" x14ac:dyDescent="0.25"/>
    <row r="1343" s="3" customFormat="1" x14ac:dyDescent="0.25"/>
    <row r="1344" s="3" customFormat="1" x14ac:dyDescent="0.25"/>
    <row r="1345" s="3" customFormat="1" x14ac:dyDescent="0.25"/>
    <row r="1346" s="3" customFormat="1" x14ac:dyDescent="0.25"/>
    <row r="1347" s="3" customFormat="1" x14ac:dyDescent="0.25"/>
    <row r="1348" s="3" customFormat="1" x14ac:dyDescent="0.25"/>
    <row r="1349" s="3" customFormat="1" x14ac:dyDescent="0.25"/>
    <row r="1350" s="3" customFormat="1" x14ac:dyDescent="0.25"/>
    <row r="1351" s="3" customFormat="1" x14ac:dyDescent="0.25"/>
    <row r="1352" s="3" customFormat="1" x14ac:dyDescent="0.25"/>
    <row r="1353" s="3" customFormat="1" x14ac:dyDescent="0.25"/>
    <row r="1354" s="3" customFormat="1" x14ac:dyDescent="0.25"/>
    <row r="1355" s="3" customFormat="1" x14ac:dyDescent="0.25"/>
    <row r="1356" s="3" customFormat="1" x14ac:dyDescent="0.25"/>
    <row r="1357" s="3" customFormat="1" x14ac:dyDescent="0.25"/>
    <row r="1358" s="3" customFormat="1" x14ac:dyDescent="0.25"/>
    <row r="1359" s="3" customFormat="1" x14ac:dyDescent="0.25"/>
    <row r="1360" s="3" customFormat="1" x14ac:dyDescent="0.25"/>
    <row r="1361" s="3" customFormat="1" x14ac:dyDescent="0.25"/>
    <row r="1362" s="3" customFormat="1" x14ac:dyDescent="0.25"/>
    <row r="1363" s="3" customFormat="1" x14ac:dyDescent="0.25"/>
    <row r="1364" s="3" customFormat="1" x14ac:dyDescent="0.25"/>
    <row r="1365" s="3" customFormat="1" x14ac:dyDescent="0.25"/>
    <row r="1366" s="3" customFormat="1" x14ac:dyDescent="0.25"/>
    <row r="1367" s="3" customFormat="1" x14ac:dyDescent="0.25"/>
    <row r="1368" s="3" customFormat="1" x14ac:dyDescent="0.25"/>
    <row r="1369" s="3" customFormat="1" x14ac:dyDescent="0.25"/>
    <row r="1370" s="3" customFormat="1" x14ac:dyDescent="0.25"/>
    <row r="1371" s="3" customFormat="1" x14ac:dyDescent="0.25"/>
    <row r="1372" s="3" customFormat="1" x14ac:dyDescent="0.25"/>
    <row r="1373" s="3" customFormat="1" x14ac:dyDescent="0.25"/>
    <row r="1374" s="3" customFormat="1" x14ac:dyDescent="0.25"/>
    <row r="1375" s="3" customFormat="1" x14ac:dyDescent="0.25"/>
    <row r="1376" s="3" customFormat="1" x14ac:dyDescent="0.25"/>
    <row r="1377" s="3" customFormat="1" x14ac:dyDescent="0.25"/>
    <row r="1378" s="3" customFormat="1" x14ac:dyDescent="0.25"/>
    <row r="1379" s="3" customFormat="1" x14ac:dyDescent="0.25"/>
    <row r="1380" s="3" customFormat="1" x14ac:dyDescent="0.25"/>
    <row r="1381" s="3" customFormat="1" x14ac:dyDescent="0.25"/>
    <row r="1382" s="3" customFormat="1" x14ac:dyDescent="0.25"/>
    <row r="1383" s="3" customFormat="1" x14ac:dyDescent="0.25"/>
    <row r="1384" s="3" customFormat="1" x14ac:dyDescent="0.25"/>
    <row r="1385" s="3" customFormat="1" x14ac:dyDescent="0.25"/>
    <row r="1386" s="3" customFormat="1" x14ac:dyDescent="0.25"/>
    <row r="1387" s="3" customFormat="1" x14ac:dyDescent="0.25"/>
    <row r="1388" s="3" customFormat="1" x14ac:dyDescent="0.25"/>
    <row r="1389" s="3" customFormat="1" x14ac:dyDescent="0.25"/>
    <row r="1390" s="3" customFormat="1" x14ac:dyDescent="0.25"/>
    <row r="1391" s="3" customFormat="1" x14ac:dyDescent="0.25"/>
    <row r="1392" s="3" customFormat="1" x14ac:dyDescent="0.25"/>
    <row r="1393" s="3" customFormat="1" x14ac:dyDescent="0.25"/>
    <row r="1394" s="3" customFormat="1" x14ac:dyDescent="0.25"/>
    <row r="1395" s="3" customFormat="1" x14ac:dyDescent="0.25"/>
    <row r="1396" s="3" customFormat="1" x14ac:dyDescent="0.25"/>
    <row r="1397" s="3" customFormat="1" x14ac:dyDescent="0.25"/>
    <row r="1398" s="3" customFormat="1" x14ac:dyDescent="0.25"/>
    <row r="1399" s="3" customFormat="1" x14ac:dyDescent="0.25"/>
    <row r="1400" s="3" customFormat="1" x14ac:dyDescent="0.25"/>
    <row r="1401" s="3" customFormat="1" x14ac:dyDescent="0.25"/>
    <row r="1402" s="3" customFormat="1" x14ac:dyDescent="0.25"/>
    <row r="1403" s="3" customFormat="1" x14ac:dyDescent="0.25"/>
    <row r="1404" s="3" customFormat="1" x14ac:dyDescent="0.25"/>
    <row r="1405" s="3" customFormat="1" x14ac:dyDescent="0.25"/>
    <row r="1406" s="3" customFormat="1" x14ac:dyDescent="0.25"/>
    <row r="1407" s="3" customFormat="1" x14ac:dyDescent="0.25"/>
    <row r="1408" s="3" customFormat="1" x14ac:dyDescent="0.25"/>
    <row r="1409" s="3" customFormat="1" x14ac:dyDescent="0.25"/>
    <row r="1410" s="3" customFormat="1" x14ac:dyDescent="0.25"/>
    <row r="1411" s="3" customFormat="1" x14ac:dyDescent="0.25"/>
    <row r="1412" s="3" customFormat="1" x14ac:dyDescent="0.25"/>
    <row r="1413" s="3" customFormat="1" x14ac:dyDescent="0.25"/>
    <row r="1414" s="3" customFormat="1" x14ac:dyDescent="0.25"/>
    <row r="1415" s="3" customFormat="1" x14ac:dyDescent="0.25"/>
    <row r="1416" s="3" customFormat="1" x14ac:dyDescent="0.25"/>
    <row r="1417" s="3" customFormat="1" x14ac:dyDescent="0.25"/>
    <row r="1418" s="3" customFormat="1" x14ac:dyDescent="0.25"/>
    <row r="1419" s="3" customFormat="1" x14ac:dyDescent="0.25"/>
    <row r="1420" s="3" customFormat="1" x14ac:dyDescent="0.25"/>
    <row r="1421" s="3" customFormat="1" x14ac:dyDescent="0.25"/>
    <row r="1422" s="3" customFormat="1" x14ac:dyDescent="0.25"/>
    <row r="1423" s="3" customFormat="1" x14ac:dyDescent="0.25"/>
    <row r="1424" s="3" customFormat="1" x14ac:dyDescent="0.25"/>
    <row r="1425" s="3" customFormat="1" x14ac:dyDescent="0.25"/>
    <row r="1426" s="3" customFormat="1" x14ac:dyDescent="0.25"/>
    <row r="1427" s="3" customFormat="1" x14ac:dyDescent="0.25"/>
    <row r="1428" s="3" customFormat="1" x14ac:dyDescent="0.25"/>
    <row r="1429" s="3" customFormat="1" x14ac:dyDescent="0.25"/>
    <row r="1430" s="3" customFormat="1" x14ac:dyDescent="0.25"/>
    <row r="1431" s="3" customFormat="1" x14ac:dyDescent="0.25"/>
    <row r="1432" s="3" customFormat="1" x14ac:dyDescent="0.25"/>
    <row r="1433" s="3" customFormat="1" x14ac:dyDescent="0.25"/>
    <row r="1434" s="3" customFormat="1" x14ac:dyDescent="0.25"/>
    <row r="1435" s="3" customFormat="1" x14ac:dyDescent="0.25"/>
    <row r="1436" s="3" customFormat="1" x14ac:dyDescent="0.25"/>
    <row r="1437" s="3" customFormat="1" x14ac:dyDescent="0.25"/>
    <row r="1438" s="3" customFormat="1" x14ac:dyDescent="0.25"/>
    <row r="1439" s="3" customFormat="1" x14ac:dyDescent="0.25"/>
    <row r="1440" s="3" customFormat="1" x14ac:dyDescent="0.25"/>
    <row r="1441" s="3" customFormat="1" x14ac:dyDescent="0.25"/>
    <row r="1442" s="3" customFormat="1" x14ac:dyDescent="0.25"/>
    <row r="1443" s="3" customFormat="1" x14ac:dyDescent="0.25"/>
    <row r="1444" s="3" customFormat="1" x14ac:dyDescent="0.25"/>
    <row r="1445" s="3" customFormat="1" x14ac:dyDescent="0.25"/>
    <row r="1446" s="3" customFormat="1" x14ac:dyDescent="0.25"/>
    <row r="1447" s="3" customFormat="1" x14ac:dyDescent="0.25"/>
    <row r="1448" s="3" customFormat="1" x14ac:dyDescent="0.25"/>
    <row r="1449" s="3" customFormat="1" x14ac:dyDescent="0.25"/>
    <row r="1450" s="3" customFormat="1" x14ac:dyDescent="0.25"/>
    <row r="1451" s="3" customFormat="1" x14ac:dyDescent="0.25"/>
    <row r="1452" s="3" customFormat="1" x14ac:dyDescent="0.25"/>
    <row r="1453" s="3" customFormat="1" x14ac:dyDescent="0.25"/>
    <row r="1454" s="3" customFormat="1" x14ac:dyDescent="0.25"/>
    <row r="1455" s="3" customFormat="1" x14ac:dyDescent="0.25"/>
    <row r="1456" s="3" customFormat="1" x14ac:dyDescent="0.25"/>
    <row r="1457" s="3" customFormat="1" x14ac:dyDescent="0.25"/>
    <row r="1458" s="3" customFormat="1" x14ac:dyDescent="0.25"/>
    <row r="1459" s="3" customFormat="1" x14ac:dyDescent="0.25"/>
    <row r="1460" s="3" customFormat="1" x14ac:dyDescent="0.25"/>
    <row r="1461" s="3" customFormat="1" x14ac:dyDescent="0.25"/>
    <row r="1462" s="3" customFormat="1" x14ac:dyDescent="0.25"/>
    <row r="1463" s="3" customFormat="1" x14ac:dyDescent="0.25"/>
    <row r="1464" s="3" customFormat="1" x14ac:dyDescent="0.25"/>
    <row r="1465" s="3" customFormat="1" x14ac:dyDescent="0.25"/>
    <row r="1466" s="3" customFormat="1" x14ac:dyDescent="0.25"/>
    <row r="1467" s="3" customFormat="1" x14ac:dyDescent="0.25"/>
    <row r="1468" s="3" customFormat="1" x14ac:dyDescent="0.25"/>
    <row r="1469" s="3" customFormat="1" x14ac:dyDescent="0.25"/>
    <row r="1470" s="3" customFormat="1" x14ac:dyDescent="0.25"/>
    <row r="1471" s="3" customFormat="1" x14ac:dyDescent="0.25"/>
    <row r="1472" s="3" customFormat="1" x14ac:dyDescent="0.25"/>
    <row r="1473" s="3" customFormat="1" x14ac:dyDescent="0.25"/>
    <row r="1474" s="3" customFormat="1" x14ac:dyDescent="0.25"/>
    <row r="1475" s="3" customFormat="1" x14ac:dyDescent="0.25"/>
    <row r="1476" s="3" customFormat="1" x14ac:dyDescent="0.25"/>
    <row r="1477" s="3" customFormat="1" x14ac:dyDescent="0.25"/>
    <row r="1478" s="3" customFormat="1" x14ac:dyDescent="0.25"/>
    <row r="1479" s="3" customFormat="1" x14ac:dyDescent="0.25"/>
    <row r="1480" s="3" customFormat="1" x14ac:dyDescent="0.25"/>
    <row r="1481" s="3" customFormat="1" x14ac:dyDescent="0.25"/>
    <row r="1482" s="3" customFormat="1" x14ac:dyDescent="0.25"/>
    <row r="1483" s="3" customFormat="1" x14ac:dyDescent="0.25"/>
    <row r="1484" s="3" customFormat="1" x14ac:dyDescent="0.25"/>
    <row r="1485" s="3" customFormat="1" x14ac:dyDescent="0.25"/>
    <row r="1486" s="3" customFormat="1" x14ac:dyDescent="0.25"/>
    <row r="1487" s="3" customFormat="1" x14ac:dyDescent="0.25"/>
    <row r="1488" s="3" customFormat="1" x14ac:dyDescent="0.25"/>
    <row r="1489" s="3" customFormat="1" x14ac:dyDescent="0.25"/>
    <row r="1490" s="3" customFormat="1" x14ac:dyDescent="0.25"/>
    <row r="1491" s="3" customFormat="1" x14ac:dyDescent="0.25"/>
    <row r="1492" s="3" customFormat="1" x14ac:dyDescent="0.25"/>
    <row r="1493" s="3" customFormat="1" x14ac:dyDescent="0.25"/>
    <row r="1494" s="3" customFormat="1" x14ac:dyDescent="0.25"/>
    <row r="1495" s="3" customFormat="1" x14ac:dyDescent="0.25"/>
    <row r="1496" s="3" customFormat="1" x14ac:dyDescent="0.25"/>
    <row r="1497" s="3" customFormat="1" x14ac:dyDescent="0.25"/>
    <row r="1498" s="3" customFormat="1" x14ac:dyDescent="0.25"/>
    <row r="1499" s="3" customFormat="1" x14ac:dyDescent="0.25"/>
    <row r="1500" s="3" customFormat="1" x14ac:dyDescent="0.25"/>
    <row r="1501" s="3" customFormat="1" x14ac:dyDescent="0.25"/>
    <row r="1502" s="3" customFormat="1" x14ac:dyDescent="0.25"/>
    <row r="1503" s="3" customFormat="1" x14ac:dyDescent="0.25"/>
    <row r="1504" s="3" customFormat="1" x14ac:dyDescent="0.25"/>
    <row r="1505" s="3" customFormat="1" x14ac:dyDescent="0.25"/>
    <row r="1506" s="3" customFormat="1" x14ac:dyDescent="0.25"/>
    <row r="1507" s="3" customFormat="1" x14ac:dyDescent="0.25"/>
    <row r="1508" s="3" customFormat="1" x14ac:dyDescent="0.25"/>
    <row r="1509" s="3" customFormat="1" x14ac:dyDescent="0.25"/>
    <row r="1510" s="3" customFormat="1" x14ac:dyDescent="0.25"/>
    <row r="1511" s="3" customFormat="1" x14ac:dyDescent="0.25"/>
    <row r="1512" s="3" customFormat="1" x14ac:dyDescent="0.25"/>
    <row r="1513" s="3" customFormat="1" x14ac:dyDescent="0.25"/>
    <row r="1514" s="3" customFormat="1" x14ac:dyDescent="0.25"/>
    <row r="1515" s="3" customFormat="1" x14ac:dyDescent="0.25"/>
    <row r="1516" s="3" customFormat="1" x14ac:dyDescent="0.25"/>
    <row r="1517" s="3" customFormat="1" x14ac:dyDescent="0.25"/>
    <row r="1518" s="3" customFormat="1" x14ac:dyDescent="0.25"/>
    <row r="1519" s="3" customFormat="1" x14ac:dyDescent="0.25"/>
    <row r="1520" s="3" customFormat="1" x14ac:dyDescent="0.25"/>
    <row r="1521" s="3" customFormat="1" x14ac:dyDescent="0.25"/>
    <row r="1522" s="3" customFormat="1" x14ac:dyDescent="0.25"/>
    <row r="1523" s="3" customFormat="1" x14ac:dyDescent="0.25"/>
    <row r="1524" s="3" customFormat="1" x14ac:dyDescent="0.25"/>
    <row r="1525" s="3" customFormat="1" x14ac:dyDescent="0.25"/>
    <row r="1526" s="3" customFormat="1" x14ac:dyDescent="0.25"/>
    <row r="1527" s="3" customFormat="1" x14ac:dyDescent="0.25"/>
    <row r="1528" s="3" customFormat="1" x14ac:dyDescent="0.25"/>
    <row r="1529" s="3" customFormat="1" x14ac:dyDescent="0.25"/>
    <row r="1530" s="3" customFormat="1" x14ac:dyDescent="0.25"/>
    <row r="1531" s="3" customFormat="1" x14ac:dyDescent="0.25"/>
    <row r="1532" s="3" customFormat="1" x14ac:dyDescent="0.25"/>
    <row r="1533" s="3" customFormat="1" x14ac:dyDescent="0.25"/>
    <row r="1534" s="3" customFormat="1" x14ac:dyDescent="0.25"/>
    <row r="1535" s="3" customFormat="1" x14ac:dyDescent="0.25"/>
    <row r="1536" s="3" customFormat="1" x14ac:dyDescent="0.25"/>
    <row r="1537" s="3" customFormat="1" x14ac:dyDescent="0.25"/>
    <row r="1538" s="3" customFormat="1" x14ac:dyDescent="0.25"/>
    <row r="1539" s="3" customFormat="1" x14ac:dyDescent="0.25"/>
    <row r="1540" s="3" customFormat="1" x14ac:dyDescent="0.25"/>
    <row r="1541" s="3" customFormat="1" x14ac:dyDescent="0.25"/>
    <row r="1542" s="3" customFormat="1" x14ac:dyDescent="0.25"/>
    <row r="1543" s="3" customFormat="1" x14ac:dyDescent="0.25"/>
    <row r="1544" s="3" customFormat="1" x14ac:dyDescent="0.25"/>
    <row r="1545" s="3" customFormat="1" x14ac:dyDescent="0.25"/>
    <row r="1546" s="3" customFormat="1" x14ac:dyDescent="0.25"/>
    <row r="1547" s="3" customFormat="1" x14ac:dyDescent="0.25"/>
    <row r="1548" s="3" customFormat="1" x14ac:dyDescent="0.25"/>
    <row r="1549" s="3" customFormat="1" x14ac:dyDescent="0.25"/>
    <row r="1550" s="3" customFormat="1" x14ac:dyDescent="0.25"/>
    <row r="1551" s="3" customFormat="1" x14ac:dyDescent="0.25"/>
    <row r="1552" s="3" customFormat="1" x14ac:dyDescent="0.25"/>
    <row r="1553" s="3" customFormat="1" x14ac:dyDescent="0.25"/>
    <row r="1554" s="3" customFormat="1" x14ac:dyDescent="0.25"/>
    <row r="1555" s="3" customFormat="1" x14ac:dyDescent="0.25"/>
    <row r="1556" s="3" customFormat="1" x14ac:dyDescent="0.25"/>
    <row r="1557" s="3" customFormat="1" x14ac:dyDescent="0.25"/>
    <row r="1558" s="3" customFormat="1" x14ac:dyDescent="0.25"/>
    <row r="1559" s="3" customFormat="1" x14ac:dyDescent="0.25"/>
    <row r="1560" s="3" customFormat="1" x14ac:dyDescent="0.25"/>
    <row r="1561" s="3" customFormat="1" x14ac:dyDescent="0.25"/>
    <row r="1562" s="3" customFormat="1" x14ac:dyDescent="0.25"/>
    <row r="1563" s="3" customFormat="1" x14ac:dyDescent="0.25"/>
    <row r="1564" s="3" customFormat="1" x14ac:dyDescent="0.25"/>
    <row r="1565" s="3" customFormat="1" x14ac:dyDescent="0.25"/>
    <row r="1566" s="3" customFormat="1" x14ac:dyDescent="0.25"/>
    <row r="1567" s="3" customFormat="1" x14ac:dyDescent="0.25"/>
    <row r="1568" s="3" customFormat="1" x14ac:dyDescent="0.25"/>
  </sheetData>
  <sheetProtection formatRows="0" insertRows="0" deleteRows="0" selectLockedCells="1"/>
  <mergeCells count="183">
    <mergeCell ref="D5:G5"/>
    <mergeCell ref="D6:G6"/>
    <mergeCell ref="D7:G7"/>
    <mergeCell ref="K5:L5"/>
    <mergeCell ref="K7:L7"/>
    <mergeCell ref="K6:L6"/>
    <mergeCell ref="H5:I5"/>
    <mergeCell ref="H6:I6"/>
    <mergeCell ref="D13:E14"/>
    <mergeCell ref="D9:D10"/>
    <mergeCell ref="K8:L10"/>
    <mergeCell ref="F11:G12"/>
    <mergeCell ref="D11:E12"/>
    <mergeCell ref="F13:G14"/>
    <mergeCell ref="E9:E10"/>
    <mergeCell ref="F9:F10"/>
    <mergeCell ref="D122:F122"/>
    <mergeCell ref="D15:E15"/>
    <mergeCell ref="D16:E16"/>
    <mergeCell ref="D17:E17"/>
    <mergeCell ref="D18:E18"/>
    <mergeCell ref="H29:P29"/>
    <mergeCell ref="H17:P17"/>
    <mergeCell ref="H18:P18"/>
    <mergeCell ref="H59:P59"/>
    <mergeCell ref="H60:P60"/>
    <mergeCell ref="H61:P61"/>
    <mergeCell ref="H62:P62"/>
    <mergeCell ref="H63:P63"/>
    <mergeCell ref="D43:E55"/>
    <mergeCell ref="D56:E61"/>
    <mergeCell ref="H30:P30"/>
    <mergeCell ref="H31:P31"/>
    <mergeCell ref="H22:P22"/>
    <mergeCell ref="H77:P77"/>
    <mergeCell ref="H85:P85"/>
    <mergeCell ref="H86:P86"/>
    <mergeCell ref="H87:P87"/>
    <mergeCell ref="H88:P88"/>
    <mergeCell ref="H89:P89"/>
    <mergeCell ref="G9:G10"/>
    <mergeCell ref="D8:G8"/>
    <mergeCell ref="H28:P28"/>
    <mergeCell ref="Q28:U28"/>
    <mergeCell ref="Q29:U29"/>
    <mergeCell ref="Q30:U30"/>
    <mergeCell ref="Q34:U34"/>
    <mergeCell ref="H35:P35"/>
    <mergeCell ref="Q35:U35"/>
    <mergeCell ref="Q17:U17"/>
    <mergeCell ref="Q23:U23"/>
    <mergeCell ref="Q25:U25"/>
    <mergeCell ref="Q19:U19"/>
    <mergeCell ref="Q20:U20"/>
    <mergeCell ref="Q22:U22"/>
    <mergeCell ref="Q18:U18"/>
    <mergeCell ref="Q26:U26"/>
    <mergeCell ref="I3:Q3"/>
    <mergeCell ref="H7:I7"/>
    <mergeCell ref="T5:U5"/>
    <mergeCell ref="T6:U6"/>
    <mergeCell ref="Q15:U15"/>
    <mergeCell ref="T9:U10"/>
    <mergeCell ref="Q11:S14"/>
    <mergeCell ref="T7:U8"/>
    <mergeCell ref="H8:I10"/>
    <mergeCell ref="J8:J10"/>
    <mergeCell ref="T11:U14"/>
    <mergeCell ref="M8:P10"/>
    <mergeCell ref="M5:P5"/>
    <mergeCell ref="M7:P7"/>
    <mergeCell ref="M6:P6"/>
    <mergeCell ref="Q5:S5"/>
    <mergeCell ref="Q6:S6"/>
    <mergeCell ref="H11:I12"/>
    <mergeCell ref="J11:P12"/>
    <mergeCell ref="G124:O124"/>
    <mergeCell ref="Q124:U124"/>
    <mergeCell ref="G123:O123"/>
    <mergeCell ref="Q123:U123"/>
    <mergeCell ref="H36:P36"/>
    <mergeCell ref="Q36:U36"/>
    <mergeCell ref="H37:P37"/>
    <mergeCell ref="H84:P84"/>
    <mergeCell ref="H96:P96"/>
    <mergeCell ref="H97:P97"/>
    <mergeCell ref="H81:P81"/>
    <mergeCell ref="H90:P90"/>
    <mergeCell ref="H91:P91"/>
    <mergeCell ref="H98:P98"/>
    <mergeCell ref="H99:P99"/>
    <mergeCell ref="H100:P100"/>
    <mergeCell ref="H101:P101"/>
    <mergeCell ref="H102:P102"/>
    <mergeCell ref="H82:P82"/>
    <mergeCell ref="H83:P83"/>
    <mergeCell ref="H67:P67"/>
    <mergeCell ref="H68:P68"/>
    <mergeCell ref="H69:P69"/>
    <mergeCell ref="H70:P70"/>
    <mergeCell ref="Q16:U16"/>
    <mergeCell ref="Q9:S10"/>
    <mergeCell ref="Q7:S8"/>
    <mergeCell ref="H16:P16"/>
    <mergeCell ref="H15:P15"/>
    <mergeCell ref="D33:E42"/>
    <mergeCell ref="H41:P41"/>
    <mergeCell ref="H43:P43"/>
    <mergeCell ref="H44:P44"/>
    <mergeCell ref="H34:P34"/>
    <mergeCell ref="H27:P27"/>
    <mergeCell ref="Q27:U27"/>
    <mergeCell ref="H26:P26"/>
    <mergeCell ref="H19:P19"/>
    <mergeCell ref="H23:P23"/>
    <mergeCell ref="H25:P25"/>
    <mergeCell ref="H24:P24"/>
    <mergeCell ref="H20:P20"/>
    <mergeCell ref="H21:P21"/>
    <mergeCell ref="H32:P32"/>
    <mergeCell ref="Q32:U32"/>
    <mergeCell ref="H33:P33"/>
    <mergeCell ref="Q33:U33"/>
    <mergeCell ref="H42:P42"/>
    <mergeCell ref="H45:P45"/>
    <mergeCell ref="H49:P49"/>
    <mergeCell ref="H58:P58"/>
    <mergeCell ref="H39:P39"/>
    <mergeCell ref="H40:P40"/>
    <mergeCell ref="H38:P38"/>
    <mergeCell ref="H50:P50"/>
    <mergeCell ref="H53:P53"/>
    <mergeCell ref="H54:P54"/>
    <mergeCell ref="H51:P51"/>
    <mergeCell ref="H52:P52"/>
    <mergeCell ref="H55:P55"/>
    <mergeCell ref="H56:P56"/>
    <mergeCell ref="H57:P57"/>
    <mergeCell ref="H48:P48"/>
    <mergeCell ref="H46:P46"/>
    <mergeCell ref="H47:P47"/>
    <mergeCell ref="D62:E74"/>
    <mergeCell ref="D75:E81"/>
    <mergeCell ref="H75:P75"/>
    <mergeCell ref="H76:P76"/>
    <mergeCell ref="H92:P92"/>
    <mergeCell ref="H93:P93"/>
    <mergeCell ref="H94:P94"/>
    <mergeCell ref="H95:P95"/>
    <mergeCell ref="D82:E87"/>
    <mergeCell ref="D88:E95"/>
    <mergeCell ref="H71:P71"/>
    <mergeCell ref="H72:P72"/>
    <mergeCell ref="H78:P78"/>
    <mergeCell ref="H79:P79"/>
    <mergeCell ref="H80:P80"/>
    <mergeCell ref="H73:P73"/>
    <mergeCell ref="H74:P74"/>
    <mergeCell ref="H66:P66"/>
    <mergeCell ref="H64:P64"/>
    <mergeCell ref="H65:P65"/>
    <mergeCell ref="H104:P104"/>
    <mergeCell ref="H106:P106"/>
    <mergeCell ref="H107:P107"/>
    <mergeCell ref="H108:P108"/>
    <mergeCell ref="H109:P109"/>
    <mergeCell ref="H105:P105"/>
    <mergeCell ref="H110:P110"/>
    <mergeCell ref="H103:P103"/>
    <mergeCell ref="D96:E100"/>
    <mergeCell ref="D101:E110"/>
    <mergeCell ref="H119:P119"/>
    <mergeCell ref="H120:P120"/>
    <mergeCell ref="D116:E120"/>
    <mergeCell ref="H111:P111"/>
    <mergeCell ref="H112:P112"/>
    <mergeCell ref="H113:P113"/>
    <mergeCell ref="H114:P114"/>
    <mergeCell ref="H115:P115"/>
    <mergeCell ref="D111:E115"/>
    <mergeCell ref="H116:P116"/>
    <mergeCell ref="H117:P117"/>
    <mergeCell ref="H118:P118"/>
  </mergeCells>
  <pageMargins left="0.23622047244094491" right="0.23622047244094491" top="0.74803149606299213" bottom="0.74803149606299213" header="0.31496062992125984" footer="0.31496062992125984"/>
  <pageSetup paperSize="9" scale="59" orientation="portrait" r:id="rId1"/>
  <headerFooter>
    <oddFooter>&amp;C&amp;6Страница  &amp;P из &amp;N</oddFooter>
  </headerFooter>
  <rowBreaks count="2" manualBreakCount="2">
    <brk id="31" max="20" man="1"/>
    <brk id="77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Хронология инцидента</vt:lpstr>
      <vt:lpstr>Лист2</vt:lpstr>
      <vt:lpstr>Лист3</vt:lpstr>
      <vt:lpstr>'Хронология инцидента'!Заголовки_для_печати</vt:lpstr>
    </vt:vector>
  </TitlesOfParts>
  <Company>IT Organization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Дикун Александр Геннадьевич</dc:creator>
  <cp:lastModifiedBy>User</cp:lastModifiedBy>
  <cp:lastPrinted>2022-08-07T10:03:14Z</cp:lastPrinted>
  <dcterms:created xsi:type="dcterms:W3CDTF">2020-03-29T03:15:59Z</dcterms:created>
  <dcterms:modified xsi:type="dcterms:W3CDTF">2023-01-14T15:30:48Z</dcterms:modified>
</cp:coreProperties>
</file>